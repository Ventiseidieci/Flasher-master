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2610/Documents/VBITE/"/>
    </mc:Choice>
  </mc:AlternateContent>
  <xr:revisionPtr revIDLastSave="0" documentId="13_ncr:1_{24525AD9-A7E7-3043-BCCD-D778DEB1FB67}" xr6:coauthVersionLast="47" xr6:coauthVersionMax="47" xr10:uidLastSave="{00000000-0000-0000-0000-000000000000}"/>
  <bookViews>
    <workbookView xWindow="0" yWindow="500" windowWidth="28800" windowHeight="30660" xr2:uid="{5CFA45FD-C277-F444-9A98-AC72DCEEF034}"/>
  </bookViews>
  <sheets>
    <sheet name="Foglio1" sheetId="1" r:id="rId1"/>
  </sheets>
  <definedNames>
    <definedName name="_xlnm._FilterDatabase" localSheetId="0" hidden="1">Foglio1!$A$1:$H$1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1" l="1"/>
  <c r="C16" i="1"/>
  <c r="D16" i="1" s="1"/>
  <c r="F3" i="1"/>
  <c r="D2" i="1"/>
  <c r="D3" i="1"/>
  <c r="G3" i="1"/>
  <c r="H3" i="1" s="1"/>
  <c r="E3" i="1"/>
  <c r="C3" i="1"/>
  <c r="C13" i="1"/>
  <c r="D13" i="1" s="1"/>
  <c r="F13" i="1" s="1"/>
  <c r="G13" i="1" s="1"/>
  <c r="C14" i="1"/>
  <c r="D14" i="1" s="1"/>
  <c r="C15" i="1"/>
  <c r="E15" i="1" s="1"/>
  <c r="C12" i="1"/>
  <c r="E12" i="1" s="1"/>
  <c r="C2" i="1"/>
  <c r="E2" i="1" s="1"/>
  <c r="C10" i="1"/>
  <c r="C11" i="1"/>
  <c r="C4" i="1"/>
  <c r="E4" i="1" s="1"/>
  <c r="C9" i="1"/>
  <c r="D9" i="1" s="1"/>
  <c r="C7" i="1"/>
  <c r="D7" i="1" s="1"/>
  <c r="C6" i="1"/>
  <c r="D6" i="1" s="1"/>
  <c r="C8" i="1"/>
  <c r="D8" i="1" s="1"/>
  <c r="C5" i="1"/>
  <c r="E5" i="1" s="1"/>
  <c r="G16" i="1" l="1"/>
  <c r="H16" i="1"/>
  <c r="E16" i="1"/>
  <c r="F14" i="1"/>
  <c r="G14" i="1" s="1"/>
  <c r="H14" i="1" s="1"/>
  <c r="E14" i="1"/>
  <c r="E13" i="1"/>
  <c r="D15" i="1"/>
  <c r="H13" i="1"/>
  <c r="D12" i="1"/>
  <c r="D4" i="1"/>
  <c r="F7" i="1"/>
  <c r="F8" i="1"/>
  <c r="G8" i="1" s="1"/>
  <c r="H8" i="1" s="1"/>
  <c r="F6" i="1"/>
  <c r="G6" i="1" s="1"/>
  <c r="H6" i="1" s="1"/>
  <c r="F9" i="1"/>
  <c r="G9" i="1" s="1"/>
  <c r="H9" i="1" s="1"/>
  <c r="D5" i="1"/>
  <c r="F5" i="1" s="1"/>
  <c r="G5" i="1" s="1"/>
  <c r="E8" i="1"/>
  <c r="E6" i="1"/>
  <c r="E7" i="1"/>
  <c r="E9" i="1"/>
  <c r="E11" i="1"/>
  <c r="D11" i="1"/>
  <c r="E10" i="1"/>
  <c r="D10" i="1"/>
  <c r="G7" i="1" l="1"/>
  <c r="H7" i="1" s="1"/>
  <c r="F15" i="1"/>
  <c r="G15" i="1" s="1"/>
  <c r="H15" i="1" s="1"/>
  <c r="F12" i="1"/>
  <c r="G12" i="1" s="1"/>
  <c r="H12" i="1" s="1"/>
  <c r="F2" i="1"/>
  <c r="G2" i="1" s="1"/>
  <c r="H2" i="1" s="1"/>
  <c r="F11" i="1"/>
  <c r="G11" i="1" s="1"/>
  <c r="H11" i="1" s="1"/>
  <c r="F10" i="1"/>
  <c r="G10" i="1" s="1"/>
  <c r="H10" i="1" s="1"/>
  <c r="F4" i="1"/>
  <c r="G4" i="1" s="1"/>
  <c r="H4" i="1" s="1"/>
  <c r="H5" i="1"/>
</calcChain>
</file>

<file path=xl/sharedStrings.xml><?xml version="1.0" encoding="utf-8"?>
<sst xmlns="http://schemas.openxmlformats.org/spreadsheetml/2006/main" count="28" uniqueCount="27">
  <si>
    <t>SKU</t>
  </si>
  <si>
    <t>HgzXXE</t>
  </si>
  <si>
    <t>bFcRR7</t>
  </si>
  <si>
    <t xml:space="preserve">LEmSES </t>
  </si>
  <si>
    <t>Yc5anT</t>
  </si>
  <si>
    <t>zEKHNS</t>
  </si>
  <si>
    <t>TERH4L</t>
  </si>
  <si>
    <t>hyzkCr</t>
  </si>
  <si>
    <t>khbSse</t>
  </si>
  <si>
    <t>Percentuale</t>
  </si>
  <si>
    <t>Prova</t>
  </si>
  <si>
    <t>Delta ADC</t>
  </si>
  <si>
    <t>Fattore conv 2</t>
  </si>
  <si>
    <t>Voltaggio</t>
  </si>
  <si>
    <t>Calcolo Valore Tensione</t>
  </si>
  <si>
    <t>Calcolo ADC</t>
  </si>
  <si>
    <t>ADC Teorico</t>
  </si>
  <si>
    <t>REF</t>
  </si>
  <si>
    <t>Note</t>
  </si>
  <si>
    <t>Molto spesso in fase di aggiornamento dice subito 100% ma non è vero, si sta ancora aggiornando</t>
  </si>
  <si>
    <t>Libreria vecchia</t>
  </si>
  <si>
    <t>Libreria Nuova</t>
  </si>
  <si>
    <t>JKrF5G</t>
  </si>
  <si>
    <t>xAu7ym</t>
  </si>
  <si>
    <t>m3fLu3</t>
  </si>
  <si>
    <t>9uL9sa</t>
  </si>
  <si>
    <t>PROVA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</si>
</sst>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#,##0.0000"/>
    <numFmt numFmtId="167" formatCode="0.0000"/>
  </numFmts>
  <fonts count="5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 (Corpo)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4.4647462726019722E-2"/>
          <c:y val="5.0373300524166019E-2"/>
          <c:w val="0.93847153079784251"/>
          <c:h val="0.9181202742581177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Foglio1!$B$19:$B$119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Foglio1!$C$19:$C$119</c:f>
              <c:numCache>
                <c:formatCode>#,##0.0000</c:formatCode>
                <c:ptCount val="101"/>
                <c:pt idx="0">
                  <c:v>3.1</c:v>
                </c:pt>
                <c:pt idx="1">
                  <c:v>3.15</c:v>
                </c:pt>
                <c:pt idx="2">
                  <c:v>3.2</c:v>
                </c:pt>
                <c:pt idx="3" formatCode="#,##0.000">
                  <c:v>3.22</c:v>
                </c:pt>
                <c:pt idx="4" formatCode="#,##0.000">
                  <c:v>3.25</c:v>
                </c:pt>
                <c:pt idx="5" formatCode="#,##0.000">
                  <c:v>3.28</c:v>
                </c:pt>
                <c:pt idx="6" formatCode="#,##0.000">
                  <c:v>3.29</c:v>
                </c:pt>
                <c:pt idx="7" formatCode="#,##0.000">
                  <c:v>3.3</c:v>
                </c:pt>
                <c:pt idx="8" formatCode="#,##0.000">
                  <c:v>3.32</c:v>
                </c:pt>
                <c:pt idx="9" formatCode="#,##0.000">
                  <c:v>3.335</c:v>
                </c:pt>
                <c:pt idx="10" formatCode="#,##0.000">
                  <c:v>3.35</c:v>
                </c:pt>
                <c:pt idx="11" formatCode="#,##0.000">
                  <c:v>3.375</c:v>
                </c:pt>
                <c:pt idx="12" formatCode="#,##0.000">
                  <c:v>3.39</c:v>
                </c:pt>
                <c:pt idx="13" formatCode="#,##0.000">
                  <c:v>3.4049999999999998</c:v>
                </c:pt>
                <c:pt idx="14" formatCode="#,##0.000">
                  <c:v>3.42</c:v>
                </c:pt>
                <c:pt idx="15" formatCode="#,##0.000">
                  <c:v>3.43</c:v>
                </c:pt>
                <c:pt idx="16" formatCode="#,##0.000">
                  <c:v>3.44</c:v>
                </c:pt>
                <c:pt idx="17" formatCode="#,##0.000">
                  <c:v>3.45</c:v>
                </c:pt>
                <c:pt idx="18" formatCode="#,##0.000">
                  <c:v>3.46</c:v>
                </c:pt>
                <c:pt idx="19" formatCode="#,##0.000">
                  <c:v>3.47</c:v>
                </c:pt>
                <c:pt idx="20" formatCode="#,##0.000">
                  <c:v>3.48</c:v>
                </c:pt>
                <c:pt idx="21" formatCode="#,##0.000">
                  <c:v>3.49</c:v>
                </c:pt>
                <c:pt idx="22" formatCode="#,##0.000">
                  <c:v>3.5</c:v>
                </c:pt>
                <c:pt idx="23" formatCode="#,##0.000">
                  <c:v>3.51</c:v>
                </c:pt>
                <c:pt idx="24" formatCode="#,##0.000">
                  <c:v>3.52</c:v>
                </c:pt>
                <c:pt idx="25" formatCode="#,##0.000">
                  <c:v>3.53</c:v>
                </c:pt>
                <c:pt idx="26" formatCode="#,##0.000">
                  <c:v>3.54</c:v>
                </c:pt>
                <c:pt idx="27" formatCode="#,##0.000">
                  <c:v>3.55</c:v>
                </c:pt>
                <c:pt idx="28" formatCode="#,##0.000">
                  <c:v>3.56</c:v>
                </c:pt>
                <c:pt idx="29" formatCode="#,##0.000">
                  <c:v>3.57</c:v>
                </c:pt>
                <c:pt idx="30" formatCode="#,##0.000">
                  <c:v>3.58</c:v>
                </c:pt>
                <c:pt idx="31" formatCode="#,##0.000">
                  <c:v>3.59</c:v>
                </c:pt>
                <c:pt idx="32" formatCode="#,##0.000">
                  <c:v>3.6</c:v>
                </c:pt>
                <c:pt idx="33" formatCode="#,##0.000">
                  <c:v>3.61</c:v>
                </c:pt>
                <c:pt idx="34" formatCode="#,##0.000">
                  <c:v>3.62</c:v>
                </c:pt>
                <c:pt idx="35" formatCode="#,##0.000">
                  <c:v>3.63</c:v>
                </c:pt>
                <c:pt idx="36" formatCode="#,##0.000">
                  <c:v>3.64</c:v>
                </c:pt>
                <c:pt idx="37" formatCode="#,##0.000">
                  <c:v>3.65</c:v>
                </c:pt>
                <c:pt idx="38" formatCode="#,##0.000">
                  <c:v>3.66</c:v>
                </c:pt>
                <c:pt idx="39" formatCode="#,##0.000">
                  <c:v>3.67</c:v>
                </c:pt>
                <c:pt idx="40" formatCode="#,##0.000">
                  <c:v>3.68</c:v>
                </c:pt>
                <c:pt idx="41" formatCode="#,##0.000">
                  <c:v>3.69</c:v>
                </c:pt>
                <c:pt idx="42" formatCode="#,##0.000">
                  <c:v>3.7</c:v>
                </c:pt>
                <c:pt idx="43" formatCode="#,##0.000">
                  <c:v>3.71</c:v>
                </c:pt>
                <c:pt idx="44" formatCode="#,##0.000">
                  <c:v>3.72</c:v>
                </c:pt>
                <c:pt idx="45" formatCode="#,##0.000">
                  <c:v>3.73</c:v>
                </c:pt>
                <c:pt idx="46" formatCode="#,##0.000">
                  <c:v>3.74</c:v>
                </c:pt>
                <c:pt idx="47" formatCode="#,##0.000">
                  <c:v>3.75</c:v>
                </c:pt>
                <c:pt idx="48" formatCode="#,##0.000">
                  <c:v>3.76</c:v>
                </c:pt>
                <c:pt idx="49" formatCode="#,##0.000">
                  <c:v>3.77</c:v>
                </c:pt>
                <c:pt idx="50" formatCode="#,##0.000">
                  <c:v>3.78</c:v>
                </c:pt>
                <c:pt idx="51" formatCode="#,##0.000">
                  <c:v>3.79</c:v>
                </c:pt>
                <c:pt idx="52" formatCode="#,##0.000">
                  <c:v>3.8</c:v>
                </c:pt>
                <c:pt idx="53" formatCode="#,##0.000">
                  <c:v>3.81</c:v>
                </c:pt>
                <c:pt idx="54" formatCode="#,##0.000">
                  <c:v>3.8149999999999999</c:v>
                </c:pt>
                <c:pt idx="55" formatCode="#,##0.000">
                  <c:v>3.82</c:v>
                </c:pt>
                <c:pt idx="56" formatCode="#,##0.000">
                  <c:v>3.8250000000000002</c:v>
                </c:pt>
                <c:pt idx="57" formatCode="#,##0.000">
                  <c:v>3.8319999999999999</c:v>
                </c:pt>
                <c:pt idx="58" formatCode="#,##0.000">
                  <c:v>3.8439999999999999</c:v>
                </c:pt>
                <c:pt idx="59" formatCode="#,##0.000">
                  <c:v>3.8519999999999999</c:v>
                </c:pt>
                <c:pt idx="60" formatCode="#,##0.000">
                  <c:v>3.86</c:v>
                </c:pt>
                <c:pt idx="61" formatCode="#,##0.000">
                  <c:v>3.87</c:v>
                </c:pt>
                <c:pt idx="62" formatCode="#,##0.000">
                  <c:v>3.88</c:v>
                </c:pt>
                <c:pt idx="63" formatCode="#,##0.000">
                  <c:v>3.89</c:v>
                </c:pt>
                <c:pt idx="64" formatCode="#,##0.000">
                  <c:v>3.9</c:v>
                </c:pt>
                <c:pt idx="65" formatCode="#,##0.000">
                  <c:v>3.9119999999999999</c:v>
                </c:pt>
                <c:pt idx="66" formatCode="#,##0.000">
                  <c:v>3.9239999999999999</c:v>
                </c:pt>
                <c:pt idx="67" formatCode="#,##0.000">
                  <c:v>3.9319999999999999</c:v>
                </c:pt>
                <c:pt idx="68" formatCode="#,##0.000">
                  <c:v>3.94</c:v>
                </c:pt>
                <c:pt idx="69" formatCode="#,##0.000">
                  <c:v>3.9449999999999998</c:v>
                </c:pt>
                <c:pt idx="70" formatCode="#,##0.000">
                  <c:v>3.95</c:v>
                </c:pt>
                <c:pt idx="71" formatCode="#,##0.000">
                  <c:v>3.9550000000000001</c:v>
                </c:pt>
                <c:pt idx="72" formatCode="#,##0.000">
                  <c:v>3.96</c:v>
                </c:pt>
                <c:pt idx="73" formatCode="#,##0.000">
                  <c:v>3.9649999999999999</c:v>
                </c:pt>
                <c:pt idx="74" formatCode="#,##0.000">
                  <c:v>3.97</c:v>
                </c:pt>
                <c:pt idx="75" formatCode="#,##0.000">
                  <c:v>3.9750000000000001</c:v>
                </c:pt>
                <c:pt idx="76" formatCode="#,##0.000">
                  <c:v>3.98</c:v>
                </c:pt>
                <c:pt idx="77" formatCode="#,##0.000">
                  <c:v>3.9849999999999999</c:v>
                </c:pt>
                <c:pt idx="78" formatCode="#,##0.000">
                  <c:v>3.99</c:v>
                </c:pt>
                <c:pt idx="79" formatCode="#,##0.000">
                  <c:v>3.9950000000000001</c:v>
                </c:pt>
                <c:pt idx="80" formatCode="#,##0.000">
                  <c:v>4</c:v>
                </c:pt>
                <c:pt idx="81" formatCode="#,##0.000">
                  <c:v>4.0049999999999999</c:v>
                </c:pt>
                <c:pt idx="82" formatCode="#,##0.000">
                  <c:v>4.01</c:v>
                </c:pt>
                <c:pt idx="83" formatCode="#,##0.000">
                  <c:v>4.0149999999999997</c:v>
                </c:pt>
                <c:pt idx="84" formatCode="#,##0.000">
                  <c:v>4.0199999999999996</c:v>
                </c:pt>
                <c:pt idx="85" formatCode="#,##0.000">
                  <c:v>4.0250000000000004</c:v>
                </c:pt>
                <c:pt idx="86" formatCode="#,##0.000">
                  <c:v>4.03</c:v>
                </c:pt>
                <c:pt idx="87" formatCode="#,##0.000">
                  <c:v>4.0350000000000001</c:v>
                </c:pt>
                <c:pt idx="88" formatCode="#,##0.000">
                  <c:v>4.04</c:v>
                </c:pt>
                <c:pt idx="89" formatCode="#,##0.000">
                  <c:v>4.0449999999999999</c:v>
                </c:pt>
                <c:pt idx="90" formatCode="#,##0.000">
                  <c:v>4.05</c:v>
                </c:pt>
                <c:pt idx="91" formatCode="#,##0.000">
                  <c:v>4.0549999999999997</c:v>
                </c:pt>
                <c:pt idx="92" formatCode="#,##0.000">
                  <c:v>4.0599999999999996</c:v>
                </c:pt>
                <c:pt idx="93" formatCode="#,##0.000">
                  <c:v>4.0650000000000004</c:v>
                </c:pt>
                <c:pt idx="94" formatCode="#,##0.000">
                  <c:v>4.07</c:v>
                </c:pt>
                <c:pt idx="95" formatCode="#,##0.000">
                  <c:v>4.0750000000000002</c:v>
                </c:pt>
                <c:pt idx="96" formatCode="#,##0.000">
                  <c:v>4.08</c:v>
                </c:pt>
                <c:pt idx="97" formatCode="#,##0.000">
                  <c:v>4.085</c:v>
                </c:pt>
                <c:pt idx="98" formatCode="#,##0.000">
                  <c:v>4.09</c:v>
                </c:pt>
                <c:pt idx="99" formatCode="#,##0.000">
                  <c:v>4.0949999999999998</c:v>
                </c:pt>
                <c:pt idx="100" formatCode="#,##0.000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AC-2244-8324-E582DF3D8ED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Foglio1!$D$19:$D$119</c:f>
              <c:numCache>
                <c:formatCode>#,##0</c:formatCode>
                <c:ptCount val="10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15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50</c:v>
                </c:pt>
                <c:pt idx="47">
                  <c:v>51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57</c:v>
                </c:pt>
                <c:pt idx="54">
                  <c:v>58</c:v>
                </c:pt>
                <c:pt idx="55">
                  <c:v>58</c:v>
                </c:pt>
                <c:pt idx="56">
                  <c:v>59</c:v>
                </c:pt>
                <c:pt idx="57">
                  <c:v>60</c:v>
                </c:pt>
                <c:pt idx="58">
                  <c:v>61</c:v>
                </c:pt>
                <c:pt idx="59">
                  <c:v>62</c:v>
                </c:pt>
                <c:pt idx="60">
                  <c:v>63</c:v>
                </c:pt>
                <c:pt idx="61">
                  <c:v>64</c:v>
                </c:pt>
                <c:pt idx="62">
                  <c:v>65</c:v>
                </c:pt>
                <c:pt idx="63">
                  <c:v>66</c:v>
                </c:pt>
                <c:pt idx="64">
                  <c:v>68</c:v>
                </c:pt>
                <c:pt idx="65">
                  <c:v>70</c:v>
                </c:pt>
                <c:pt idx="66">
                  <c:v>71</c:v>
                </c:pt>
                <c:pt idx="67">
                  <c:v>73</c:v>
                </c:pt>
                <c:pt idx="68">
                  <c:v>75</c:v>
                </c:pt>
                <c:pt idx="69">
                  <c:v>77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85</c:v>
                </c:pt>
                <c:pt idx="78">
                  <c:v>86</c:v>
                </c:pt>
                <c:pt idx="79">
                  <c:v>86</c:v>
                </c:pt>
                <c:pt idx="80">
                  <c:v>87</c:v>
                </c:pt>
                <c:pt idx="81">
                  <c:v>88</c:v>
                </c:pt>
                <c:pt idx="82">
                  <c:v>89</c:v>
                </c:pt>
                <c:pt idx="83">
                  <c:v>90</c:v>
                </c:pt>
                <c:pt idx="84">
                  <c:v>91</c:v>
                </c:pt>
                <c:pt idx="85">
                  <c:v>92</c:v>
                </c:pt>
                <c:pt idx="86">
                  <c:v>93</c:v>
                </c:pt>
                <c:pt idx="87">
                  <c:v>94</c:v>
                </c:pt>
                <c:pt idx="88">
                  <c:v>95</c:v>
                </c:pt>
                <c:pt idx="89">
                  <c:v>96</c:v>
                </c:pt>
                <c:pt idx="90">
                  <c:v>96</c:v>
                </c:pt>
                <c:pt idx="91">
                  <c:v>96</c:v>
                </c:pt>
                <c:pt idx="92">
                  <c:v>96</c:v>
                </c:pt>
                <c:pt idx="93">
                  <c:v>96</c:v>
                </c:pt>
                <c:pt idx="94">
                  <c:v>96</c:v>
                </c:pt>
                <c:pt idx="95">
                  <c:v>96</c:v>
                </c:pt>
                <c:pt idx="96">
                  <c:v>96</c:v>
                </c:pt>
                <c:pt idx="97">
                  <c:v>96</c:v>
                </c:pt>
                <c:pt idx="98">
                  <c:v>96</c:v>
                </c:pt>
                <c:pt idx="99">
                  <c:v>97</c:v>
                </c:pt>
                <c:pt idx="100">
                  <c:v>97</c:v>
                </c:pt>
              </c:numCache>
            </c:numRef>
          </c:xVal>
          <c:yVal>
            <c:numRef>
              <c:f>Foglio1!$C$19:$C$119</c:f>
              <c:numCache>
                <c:formatCode>#,##0.0000</c:formatCode>
                <c:ptCount val="101"/>
                <c:pt idx="0">
                  <c:v>3.1</c:v>
                </c:pt>
                <c:pt idx="1">
                  <c:v>3.15</c:v>
                </c:pt>
                <c:pt idx="2">
                  <c:v>3.2</c:v>
                </c:pt>
                <c:pt idx="3" formatCode="#,##0.000">
                  <c:v>3.22</c:v>
                </c:pt>
                <c:pt idx="4" formatCode="#,##0.000">
                  <c:v>3.25</c:v>
                </c:pt>
                <c:pt idx="5" formatCode="#,##0.000">
                  <c:v>3.28</c:v>
                </c:pt>
                <c:pt idx="6" formatCode="#,##0.000">
                  <c:v>3.29</c:v>
                </c:pt>
                <c:pt idx="7" formatCode="#,##0.000">
                  <c:v>3.3</c:v>
                </c:pt>
                <c:pt idx="8" formatCode="#,##0.000">
                  <c:v>3.32</c:v>
                </c:pt>
                <c:pt idx="9" formatCode="#,##0.000">
                  <c:v>3.335</c:v>
                </c:pt>
                <c:pt idx="10" formatCode="#,##0.000">
                  <c:v>3.35</c:v>
                </c:pt>
                <c:pt idx="11" formatCode="#,##0.000">
                  <c:v>3.375</c:v>
                </c:pt>
                <c:pt idx="12" formatCode="#,##0.000">
                  <c:v>3.39</c:v>
                </c:pt>
                <c:pt idx="13" formatCode="#,##0.000">
                  <c:v>3.4049999999999998</c:v>
                </c:pt>
                <c:pt idx="14" formatCode="#,##0.000">
                  <c:v>3.42</c:v>
                </c:pt>
                <c:pt idx="15" formatCode="#,##0.000">
                  <c:v>3.43</c:v>
                </c:pt>
                <c:pt idx="16" formatCode="#,##0.000">
                  <c:v>3.44</c:v>
                </c:pt>
                <c:pt idx="17" formatCode="#,##0.000">
                  <c:v>3.45</c:v>
                </c:pt>
                <c:pt idx="18" formatCode="#,##0.000">
                  <c:v>3.46</c:v>
                </c:pt>
                <c:pt idx="19" formatCode="#,##0.000">
                  <c:v>3.47</c:v>
                </c:pt>
                <c:pt idx="20" formatCode="#,##0.000">
                  <c:v>3.48</c:v>
                </c:pt>
                <c:pt idx="21" formatCode="#,##0.000">
                  <c:v>3.49</c:v>
                </c:pt>
                <c:pt idx="22" formatCode="#,##0.000">
                  <c:v>3.5</c:v>
                </c:pt>
                <c:pt idx="23" formatCode="#,##0.000">
                  <c:v>3.51</c:v>
                </c:pt>
                <c:pt idx="24" formatCode="#,##0.000">
                  <c:v>3.52</c:v>
                </c:pt>
                <c:pt idx="25" formatCode="#,##0.000">
                  <c:v>3.53</c:v>
                </c:pt>
                <c:pt idx="26" formatCode="#,##0.000">
                  <c:v>3.54</c:v>
                </c:pt>
                <c:pt idx="27" formatCode="#,##0.000">
                  <c:v>3.55</c:v>
                </c:pt>
                <c:pt idx="28" formatCode="#,##0.000">
                  <c:v>3.56</c:v>
                </c:pt>
                <c:pt idx="29" formatCode="#,##0.000">
                  <c:v>3.57</c:v>
                </c:pt>
                <c:pt idx="30" formatCode="#,##0.000">
                  <c:v>3.58</c:v>
                </c:pt>
                <c:pt idx="31" formatCode="#,##0.000">
                  <c:v>3.59</c:v>
                </c:pt>
                <c:pt idx="32" formatCode="#,##0.000">
                  <c:v>3.6</c:v>
                </c:pt>
                <c:pt idx="33" formatCode="#,##0.000">
                  <c:v>3.61</c:v>
                </c:pt>
                <c:pt idx="34" formatCode="#,##0.000">
                  <c:v>3.62</c:v>
                </c:pt>
                <c:pt idx="35" formatCode="#,##0.000">
                  <c:v>3.63</c:v>
                </c:pt>
                <c:pt idx="36" formatCode="#,##0.000">
                  <c:v>3.64</c:v>
                </c:pt>
                <c:pt idx="37" formatCode="#,##0.000">
                  <c:v>3.65</c:v>
                </c:pt>
                <c:pt idx="38" formatCode="#,##0.000">
                  <c:v>3.66</c:v>
                </c:pt>
                <c:pt idx="39" formatCode="#,##0.000">
                  <c:v>3.67</c:v>
                </c:pt>
                <c:pt idx="40" formatCode="#,##0.000">
                  <c:v>3.68</c:v>
                </c:pt>
                <c:pt idx="41" formatCode="#,##0.000">
                  <c:v>3.69</c:v>
                </c:pt>
                <c:pt idx="42" formatCode="#,##0.000">
                  <c:v>3.7</c:v>
                </c:pt>
                <c:pt idx="43" formatCode="#,##0.000">
                  <c:v>3.71</c:v>
                </c:pt>
                <c:pt idx="44" formatCode="#,##0.000">
                  <c:v>3.72</c:v>
                </c:pt>
                <c:pt idx="45" formatCode="#,##0.000">
                  <c:v>3.73</c:v>
                </c:pt>
                <c:pt idx="46" formatCode="#,##0.000">
                  <c:v>3.74</c:v>
                </c:pt>
                <c:pt idx="47" formatCode="#,##0.000">
                  <c:v>3.75</c:v>
                </c:pt>
                <c:pt idx="48" formatCode="#,##0.000">
                  <c:v>3.76</c:v>
                </c:pt>
                <c:pt idx="49" formatCode="#,##0.000">
                  <c:v>3.77</c:v>
                </c:pt>
                <c:pt idx="50" formatCode="#,##0.000">
                  <c:v>3.78</c:v>
                </c:pt>
                <c:pt idx="51" formatCode="#,##0.000">
                  <c:v>3.79</c:v>
                </c:pt>
                <c:pt idx="52" formatCode="#,##0.000">
                  <c:v>3.8</c:v>
                </c:pt>
                <c:pt idx="53" formatCode="#,##0.000">
                  <c:v>3.81</c:v>
                </c:pt>
                <c:pt idx="54" formatCode="#,##0.000">
                  <c:v>3.8149999999999999</c:v>
                </c:pt>
                <c:pt idx="55" formatCode="#,##0.000">
                  <c:v>3.82</c:v>
                </c:pt>
                <c:pt idx="56" formatCode="#,##0.000">
                  <c:v>3.8250000000000002</c:v>
                </c:pt>
                <c:pt idx="57" formatCode="#,##0.000">
                  <c:v>3.8319999999999999</c:v>
                </c:pt>
                <c:pt idx="58" formatCode="#,##0.000">
                  <c:v>3.8439999999999999</c:v>
                </c:pt>
                <c:pt idx="59" formatCode="#,##0.000">
                  <c:v>3.8519999999999999</c:v>
                </c:pt>
                <c:pt idx="60" formatCode="#,##0.000">
                  <c:v>3.86</c:v>
                </c:pt>
                <c:pt idx="61" formatCode="#,##0.000">
                  <c:v>3.87</c:v>
                </c:pt>
                <c:pt idx="62" formatCode="#,##0.000">
                  <c:v>3.88</c:v>
                </c:pt>
                <c:pt idx="63" formatCode="#,##0.000">
                  <c:v>3.89</c:v>
                </c:pt>
                <c:pt idx="64" formatCode="#,##0.000">
                  <c:v>3.9</c:v>
                </c:pt>
                <c:pt idx="65" formatCode="#,##0.000">
                  <c:v>3.9119999999999999</c:v>
                </c:pt>
                <c:pt idx="66" formatCode="#,##0.000">
                  <c:v>3.9239999999999999</c:v>
                </c:pt>
                <c:pt idx="67" formatCode="#,##0.000">
                  <c:v>3.9319999999999999</c:v>
                </c:pt>
                <c:pt idx="68" formatCode="#,##0.000">
                  <c:v>3.94</c:v>
                </c:pt>
                <c:pt idx="69" formatCode="#,##0.000">
                  <c:v>3.9449999999999998</c:v>
                </c:pt>
                <c:pt idx="70" formatCode="#,##0.000">
                  <c:v>3.95</c:v>
                </c:pt>
                <c:pt idx="71" formatCode="#,##0.000">
                  <c:v>3.9550000000000001</c:v>
                </c:pt>
                <c:pt idx="72" formatCode="#,##0.000">
                  <c:v>3.96</c:v>
                </c:pt>
                <c:pt idx="73" formatCode="#,##0.000">
                  <c:v>3.9649999999999999</c:v>
                </c:pt>
                <c:pt idx="74" formatCode="#,##0.000">
                  <c:v>3.97</c:v>
                </c:pt>
                <c:pt idx="75" formatCode="#,##0.000">
                  <c:v>3.9750000000000001</c:v>
                </c:pt>
                <c:pt idx="76" formatCode="#,##0.000">
                  <c:v>3.98</c:v>
                </c:pt>
                <c:pt idx="77" formatCode="#,##0.000">
                  <c:v>3.9849999999999999</c:v>
                </c:pt>
                <c:pt idx="78" formatCode="#,##0.000">
                  <c:v>3.99</c:v>
                </c:pt>
                <c:pt idx="79" formatCode="#,##0.000">
                  <c:v>3.9950000000000001</c:v>
                </c:pt>
                <c:pt idx="80" formatCode="#,##0.000">
                  <c:v>4</c:v>
                </c:pt>
                <c:pt idx="81" formatCode="#,##0.000">
                  <c:v>4.0049999999999999</c:v>
                </c:pt>
                <c:pt idx="82" formatCode="#,##0.000">
                  <c:v>4.01</c:v>
                </c:pt>
                <c:pt idx="83" formatCode="#,##0.000">
                  <c:v>4.0149999999999997</c:v>
                </c:pt>
                <c:pt idx="84" formatCode="#,##0.000">
                  <c:v>4.0199999999999996</c:v>
                </c:pt>
                <c:pt idx="85" formatCode="#,##0.000">
                  <c:v>4.0250000000000004</c:v>
                </c:pt>
                <c:pt idx="86" formatCode="#,##0.000">
                  <c:v>4.03</c:v>
                </c:pt>
                <c:pt idx="87" formatCode="#,##0.000">
                  <c:v>4.0350000000000001</c:v>
                </c:pt>
                <c:pt idx="88" formatCode="#,##0.000">
                  <c:v>4.04</c:v>
                </c:pt>
                <c:pt idx="89" formatCode="#,##0.000">
                  <c:v>4.0449999999999999</c:v>
                </c:pt>
                <c:pt idx="90" formatCode="#,##0.000">
                  <c:v>4.05</c:v>
                </c:pt>
                <c:pt idx="91" formatCode="#,##0.000">
                  <c:v>4.0549999999999997</c:v>
                </c:pt>
                <c:pt idx="92" formatCode="#,##0.000">
                  <c:v>4.0599999999999996</c:v>
                </c:pt>
                <c:pt idx="93" formatCode="#,##0.000">
                  <c:v>4.0650000000000004</c:v>
                </c:pt>
                <c:pt idx="94" formatCode="#,##0.000">
                  <c:v>4.07</c:v>
                </c:pt>
                <c:pt idx="95" formatCode="#,##0.000">
                  <c:v>4.0750000000000002</c:v>
                </c:pt>
                <c:pt idx="96" formatCode="#,##0.000">
                  <c:v>4.08</c:v>
                </c:pt>
                <c:pt idx="97" formatCode="#,##0.000">
                  <c:v>4.085</c:v>
                </c:pt>
                <c:pt idx="98" formatCode="#,##0.000">
                  <c:v>4.09</c:v>
                </c:pt>
                <c:pt idx="99" formatCode="#,##0.000">
                  <c:v>4.0949999999999998</c:v>
                </c:pt>
                <c:pt idx="100" formatCode="#,##0.000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AC-2244-8324-E582DF3D8ED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Foglio1!$E$19:$E$119</c:f>
              <c:numCache>
                <c:formatCode>#,##0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23</c:v>
                </c:pt>
                <c:pt idx="29">
                  <c:v>24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  <c:pt idx="36">
                  <c:v>32</c:v>
                </c:pt>
                <c:pt idx="37">
                  <c:v>33</c:v>
                </c:pt>
                <c:pt idx="38">
                  <c:v>34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49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55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  <c:pt idx="76">
                  <c:v>73</c:v>
                </c:pt>
                <c:pt idx="77">
                  <c:v>74</c:v>
                </c:pt>
                <c:pt idx="78">
                  <c:v>75</c:v>
                </c:pt>
                <c:pt idx="79">
                  <c:v>76</c:v>
                </c:pt>
                <c:pt idx="80">
                  <c:v>77</c:v>
                </c:pt>
                <c:pt idx="81">
                  <c:v>78</c:v>
                </c:pt>
                <c:pt idx="82">
                  <c:v>79</c:v>
                </c:pt>
                <c:pt idx="83">
                  <c:v>80</c:v>
                </c:pt>
                <c:pt idx="84">
                  <c:v>81</c:v>
                </c:pt>
                <c:pt idx="85">
                  <c:v>82</c:v>
                </c:pt>
                <c:pt idx="86">
                  <c:v>83</c:v>
                </c:pt>
                <c:pt idx="87">
                  <c:v>84</c:v>
                </c:pt>
                <c:pt idx="88">
                  <c:v>86</c:v>
                </c:pt>
                <c:pt idx="89">
                  <c:v>88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94</c:v>
                </c:pt>
                <c:pt idx="96">
                  <c:v>95</c:v>
                </c:pt>
                <c:pt idx="97">
                  <c:v>95</c:v>
                </c:pt>
                <c:pt idx="98">
                  <c:v>96</c:v>
                </c:pt>
                <c:pt idx="99">
                  <c:v>96</c:v>
                </c:pt>
                <c:pt idx="100">
                  <c:v>97</c:v>
                </c:pt>
              </c:numCache>
            </c:numRef>
          </c:xVal>
          <c:yVal>
            <c:numRef>
              <c:f>Foglio1!$C$19:$C$119</c:f>
              <c:numCache>
                <c:formatCode>#,##0.0000</c:formatCode>
                <c:ptCount val="101"/>
                <c:pt idx="0">
                  <c:v>3.1</c:v>
                </c:pt>
                <c:pt idx="1">
                  <c:v>3.15</c:v>
                </c:pt>
                <c:pt idx="2">
                  <c:v>3.2</c:v>
                </c:pt>
                <c:pt idx="3" formatCode="#,##0.000">
                  <c:v>3.22</c:v>
                </c:pt>
                <c:pt idx="4" formatCode="#,##0.000">
                  <c:v>3.25</c:v>
                </c:pt>
                <c:pt idx="5" formatCode="#,##0.000">
                  <c:v>3.28</c:v>
                </c:pt>
                <c:pt idx="6" formatCode="#,##0.000">
                  <c:v>3.29</c:v>
                </c:pt>
                <c:pt idx="7" formatCode="#,##0.000">
                  <c:v>3.3</c:v>
                </c:pt>
                <c:pt idx="8" formatCode="#,##0.000">
                  <c:v>3.32</c:v>
                </c:pt>
                <c:pt idx="9" formatCode="#,##0.000">
                  <c:v>3.335</c:v>
                </c:pt>
                <c:pt idx="10" formatCode="#,##0.000">
                  <c:v>3.35</c:v>
                </c:pt>
                <c:pt idx="11" formatCode="#,##0.000">
                  <c:v>3.375</c:v>
                </c:pt>
                <c:pt idx="12" formatCode="#,##0.000">
                  <c:v>3.39</c:v>
                </c:pt>
                <c:pt idx="13" formatCode="#,##0.000">
                  <c:v>3.4049999999999998</c:v>
                </c:pt>
                <c:pt idx="14" formatCode="#,##0.000">
                  <c:v>3.42</c:v>
                </c:pt>
                <c:pt idx="15" formatCode="#,##0.000">
                  <c:v>3.43</c:v>
                </c:pt>
                <c:pt idx="16" formatCode="#,##0.000">
                  <c:v>3.44</c:v>
                </c:pt>
                <c:pt idx="17" formatCode="#,##0.000">
                  <c:v>3.45</c:v>
                </c:pt>
                <c:pt idx="18" formatCode="#,##0.000">
                  <c:v>3.46</c:v>
                </c:pt>
                <c:pt idx="19" formatCode="#,##0.000">
                  <c:v>3.47</c:v>
                </c:pt>
                <c:pt idx="20" formatCode="#,##0.000">
                  <c:v>3.48</c:v>
                </c:pt>
                <c:pt idx="21" formatCode="#,##0.000">
                  <c:v>3.49</c:v>
                </c:pt>
                <c:pt idx="22" formatCode="#,##0.000">
                  <c:v>3.5</c:v>
                </c:pt>
                <c:pt idx="23" formatCode="#,##0.000">
                  <c:v>3.51</c:v>
                </c:pt>
                <c:pt idx="24" formatCode="#,##0.000">
                  <c:v>3.52</c:v>
                </c:pt>
                <c:pt idx="25" formatCode="#,##0.000">
                  <c:v>3.53</c:v>
                </c:pt>
                <c:pt idx="26" formatCode="#,##0.000">
                  <c:v>3.54</c:v>
                </c:pt>
                <c:pt idx="27" formatCode="#,##0.000">
                  <c:v>3.55</c:v>
                </c:pt>
                <c:pt idx="28" formatCode="#,##0.000">
                  <c:v>3.56</c:v>
                </c:pt>
                <c:pt idx="29" formatCode="#,##0.000">
                  <c:v>3.57</c:v>
                </c:pt>
                <c:pt idx="30" formatCode="#,##0.000">
                  <c:v>3.58</c:v>
                </c:pt>
                <c:pt idx="31" formatCode="#,##0.000">
                  <c:v>3.59</c:v>
                </c:pt>
                <c:pt idx="32" formatCode="#,##0.000">
                  <c:v>3.6</c:v>
                </c:pt>
                <c:pt idx="33" formatCode="#,##0.000">
                  <c:v>3.61</c:v>
                </c:pt>
                <c:pt idx="34" formatCode="#,##0.000">
                  <c:v>3.62</c:v>
                </c:pt>
                <c:pt idx="35" formatCode="#,##0.000">
                  <c:v>3.63</c:v>
                </c:pt>
                <c:pt idx="36" formatCode="#,##0.000">
                  <c:v>3.64</c:v>
                </c:pt>
                <c:pt idx="37" formatCode="#,##0.000">
                  <c:v>3.65</c:v>
                </c:pt>
                <c:pt idx="38" formatCode="#,##0.000">
                  <c:v>3.66</c:v>
                </c:pt>
                <c:pt idx="39" formatCode="#,##0.000">
                  <c:v>3.67</c:v>
                </c:pt>
                <c:pt idx="40" formatCode="#,##0.000">
                  <c:v>3.68</c:v>
                </c:pt>
                <c:pt idx="41" formatCode="#,##0.000">
                  <c:v>3.69</c:v>
                </c:pt>
                <c:pt idx="42" formatCode="#,##0.000">
                  <c:v>3.7</c:v>
                </c:pt>
                <c:pt idx="43" formatCode="#,##0.000">
                  <c:v>3.71</c:v>
                </c:pt>
                <c:pt idx="44" formatCode="#,##0.000">
                  <c:v>3.72</c:v>
                </c:pt>
                <c:pt idx="45" formatCode="#,##0.000">
                  <c:v>3.73</c:v>
                </c:pt>
                <c:pt idx="46" formatCode="#,##0.000">
                  <c:v>3.74</c:v>
                </c:pt>
                <c:pt idx="47" formatCode="#,##0.000">
                  <c:v>3.75</c:v>
                </c:pt>
                <c:pt idx="48" formatCode="#,##0.000">
                  <c:v>3.76</c:v>
                </c:pt>
                <c:pt idx="49" formatCode="#,##0.000">
                  <c:v>3.77</c:v>
                </c:pt>
                <c:pt idx="50" formatCode="#,##0.000">
                  <c:v>3.78</c:v>
                </c:pt>
                <c:pt idx="51" formatCode="#,##0.000">
                  <c:v>3.79</c:v>
                </c:pt>
                <c:pt idx="52" formatCode="#,##0.000">
                  <c:v>3.8</c:v>
                </c:pt>
                <c:pt idx="53" formatCode="#,##0.000">
                  <c:v>3.81</c:v>
                </c:pt>
                <c:pt idx="54" formatCode="#,##0.000">
                  <c:v>3.8149999999999999</c:v>
                </c:pt>
                <c:pt idx="55" formatCode="#,##0.000">
                  <c:v>3.82</c:v>
                </c:pt>
                <c:pt idx="56" formatCode="#,##0.000">
                  <c:v>3.8250000000000002</c:v>
                </c:pt>
                <c:pt idx="57" formatCode="#,##0.000">
                  <c:v>3.8319999999999999</c:v>
                </c:pt>
                <c:pt idx="58" formatCode="#,##0.000">
                  <c:v>3.8439999999999999</c:v>
                </c:pt>
                <c:pt idx="59" formatCode="#,##0.000">
                  <c:v>3.8519999999999999</c:v>
                </c:pt>
                <c:pt idx="60" formatCode="#,##0.000">
                  <c:v>3.86</c:v>
                </c:pt>
                <c:pt idx="61" formatCode="#,##0.000">
                  <c:v>3.87</c:v>
                </c:pt>
                <c:pt idx="62" formatCode="#,##0.000">
                  <c:v>3.88</c:v>
                </c:pt>
                <c:pt idx="63" formatCode="#,##0.000">
                  <c:v>3.89</c:v>
                </c:pt>
                <c:pt idx="64" formatCode="#,##0.000">
                  <c:v>3.9</c:v>
                </c:pt>
                <c:pt idx="65" formatCode="#,##0.000">
                  <c:v>3.9119999999999999</c:v>
                </c:pt>
                <c:pt idx="66" formatCode="#,##0.000">
                  <c:v>3.9239999999999999</c:v>
                </c:pt>
                <c:pt idx="67" formatCode="#,##0.000">
                  <c:v>3.9319999999999999</c:v>
                </c:pt>
                <c:pt idx="68" formatCode="#,##0.000">
                  <c:v>3.94</c:v>
                </c:pt>
                <c:pt idx="69" formatCode="#,##0.000">
                  <c:v>3.9449999999999998</c:v>
                </c:pt>
                <c:pt idx="70" formatCode="#,##0.000">
                  <c:v>3.95</c:v>
                </c:pt>
                <c:pt idx="71" formatCode="#,##0.000">
                  <c:v>3.9550000000000001</c:v>
                </c:pt>
                <c:pt idx="72" formatCode="#,##0.000">
                  <c:v>3.96</c:v>
                </c:pt>
                <c:pt idx="73" formatCode="#,##0.000">
                  <c:v>3.9649999999999999</c:v>
                </c:pt>
                <c:pt idx="74" formatCode="#,##0.000">
                  <c:v>3.97</c:v>
                </c:pt>
                <c:pt idx="75" formatCode="#,##0.000">
                  <c:v>3.9750000000000001</c:v>
                </c:pt>
                <c:pt idx="76" formatCode="#,##0.000">
                  <c:v>3.98</c:v>
                </c:pt>
                <c:pt idx="77" formatCode="#,##0.000">
                  <c:v>3.9849999999999999</c:v>
                </c:pt>
                <c:pt idx="78" formatCode="#,##0.000">
                  <c:v>3.99</c:v>
                </c:pt>
                <c:pt idx="79" formatCode="#,##0.000">
                  <c:v>3.9950000000000001</c:v>
                </c:pt>
                <c:pt idx="80" formatCode="#,##0.000">
                  <c:v>4</c:v>
                </c:pt>
                <c:pt idx="81" formatCode="#,##0.000">
                  <c:v>4.0049999999999999</c:v>
                </c:pt>
                <c:pt idx="82" formatCode="#,##0.000">
                  <c:v>4.01</c:v>
                </c:pt>
                <c:pt idx="83" formatCode="#,##0.000">
                  <c:v>4.0149999999999997</c:v>
                </c:pt>
                <c:pt idx="84" formatCode="#,##0.000">
                  <c:v>4.0199999999999996</c:v>
                </c:pt>
                <c:pt idx="85" formatCode="#,##0.000">
                  <c:v>4.0250000000000004</c:v>
                </c:pt>
                <c:pt idx="86" formatCode="#,##0.000">
                  <c:v>4.03</c:v>
                </c:pt>
                <c:pt idx="87" formatCode="#,##0.000">
                  <c:v>4.0350000000000001</c:v>
                </c:pt>
                <c:pt idx="88" formatCode="#,##0.000">
                  <c:v>4.04</c:v>
                </c:pt>
                <c:pt idx="89" formatCode="#,##0.000">
                  <c:v>4.0449999999999999</c:v>
                </c:pt>
                <c:pt idx="90" formatCode="#,##0.000">
                  <c:v>4.05</c:v>
                </c:pt>
                <c:pt idx="91" formatCode="#,##0.000">
                  <c:v>4.0549999999999997</c:v>
                </c:pt>
                <c:pt idx="92" formatCode="#,##0.000">
                  <c:v>4.0599999999999996</c:v>
                </c:pt>
                <c:pt idx="93" formatCode="#,##0.000">
                  <c:v>4.0650000000000004</c:v>
                </c:pt>
                <c:pt idx="94" formatCode="#,##0.000">
                  <c:v>4.07</c:v>
                </c:pt>
                <c:pt idx="95" formatCode="#,##0.000">
                  <c:v>4.0750000000000002</c:v>
                </c:pt>
                <c:pt idx="96" formatCode="#,##0.000">
                  <c:v>4.08</c:v>
                </c:pt>
                <c:pt idx="97" formatCode="#,##0.000">
                  <c:v>4.085</c:v>
                </c:pt>
                <c:pt idx="98" formatCode="#,##0.000">
                  <c:v>4.09</c:v>
                </c:pt>
                <c:pt idx="99" formatCode="#,##0.000">
                  <c:v>4.0949999999999998</c:v>
                </c:pt>
                <c:pt idx="100" formatCode="#,##0.000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AC-2244-8324-E582DF3D8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74543"/>
        <c:axId val="135575359"/>
      </c:scatterChart>
      <c:valAx>
        <c:axId val="135574543"/>
        <c:scaling>
          <c:orientation val="minMax"/>
          <c:max val="1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575359"/>
        <c:crosses val="autoZero"/>
        <c:crossBetween val="midCat"/>
        <c:majorUnit val="10"/>
      </c:valAx>
      <c:valAx>
        <c:axId val="135575359"/>
        <c:scaling>
          <c:orientation val="minMax"/>
          <c:min val="3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57454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767934</xdr:colOff>
      <xdr:row>17</xdr:row>
      <xdr:rowOff>74895</xdr:rowOff>
    </xdr:from>
    <xdr:to>
      <xdr:col>17</xdr:col>
      <xdr:colOff>553719</xdr:colOff>
      <xdr:row>63</xdr:row>
      <xdr:rowOff>129540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FB93C25-F422-8DE3-63F0-35F76691F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A2F8-C70C-954A-B20B-986334289DC9}">
  <dimension ref="A1:J119"/>
  <sheetViews>
    <sheetView tabSelected="1" zoomScaleNormal="100" workbookViewId="0">
      <pane xSplit="1" topLeftCell="B1" activePane="topRight" state="frozen"/>
      <selection pane="topRight" activeCell="G16" sqref="G16"/>
    </sheetView>
  </sheetViews>
  <sheetFormatPr baseColWidth="10" defaultRowHeight="16" x14ac:dyDescent="0.2"/>
  <cols>
    <col min="1" max="1" width="11.1640625" bestFit="1" customWidth="1"/>
    <col min="2" max="2" width="15.83203125" bestFit="1" customWidth="1"/>
    <col min="3" max="3" width="21.83203125" bestFit="1" customWidth="1"/>
    <col min="4" max="5" width="21.83203125" customWidth="1"/>
    <col min="6" max="6" width="18.33203125" bestFit="1" customWidth="1"/>
    <col min="7" max="7" width="19.5" customWidth="1"/>
    <col min="9" max="9" width="24.1640625" bestFit="1" customWidth="1"/>
  </cols>
  <sheetData>
    <row r="1" spans="1:10" x14ac:dyDescent="0.2">
      <c r="A1" s="2" t="s">
        <v>0</v>
      </c>
      <c r="B1" s="2" t="s">
        <v>9</v>
      </c>
      <c r="C1" s="2" t="s">
        <v>14</v>
      </c>
      <c r="D1" s="2" t="s">
        <v>15</v>
      </c>
      <c r="E1" s="2" t="s">
        <v>16</v>
      </c>
      <c r="F1" s="2" t="s">
        <v>11</v>
      </c>
      <c r="G1" s="2" t="s">
        <v>12</v>
      </c>
      <c r="H1" s="2" t="s">
        <v>10</v>
      </c>
      <c r="I1" s="21" t="s">
        <v>18</v>
      </c>
      <c r="J1" s="22"/>
    </row>
    <row r="2" spans="1:10" ht="19" x14ac:dyDescent="0.2">
      <c r="A2" s="2" t="s">
        <v>17</v>
      </c>
      <c r="B2" s="11">
        <v>70</v>
      </c>
      <c r="C2" s="8">
        <f>VLOOKUP(B2,B18:C118,2)</f>
        <v>3.95</v>
      </c>
      <c r="D2" s="9">
        <f>C2*1000/1.747</f>
        <v>2261.0188895248998</v>
      </c>
      <c r="E2" s="9">
        <f t="shared" ref="E2:E15" si="0">C2*1000/1.611</f>
        <v>2451.8932340161391</v>
      </c>
      <c r="F2" s="10">
        <f t="shared" ref="F2:F15" si="1">2452/D2</f>
        <v>1.084466835443038</v>
      </c>
      <c r="G2" s="12">
        <f t="shared" ref="G2:G15" si="2">(6.6/4095)*1000*F2</f>
        <v>1.7478586358788892</v>
      </c>
      <c r="H2" s="13">
        <f t="shared" ref="H2:H15" si="3">D2*G2/1000</f>
        <v>3.9519413919413924</v>
      </c>
    </row>
    <row r="3" spans="1:10" ht="19" x14ac:dyDescent="0.2">
      <c r="A3" s="2"/>
      <c r="B3" s="11">
        <v>60</v>
      </c>
      <c r="C3" s="8">
        <f>VLOOKUP(B3,B19:C119,2)</f>
        <v>3.86</v>
      </c>
      <c r="D3" s="9">
        <f>C3*1000/1.7479</f>
        <v>2208.364322901768</v>
      </c>
      <c r="E3" s="9">
        <f t="shared" si="0"/>
        <v>2396.0273122284298</v>
      </c>
      <c r="F3" s="10">
        <f>2396/D3</f>
        <v>1.0849659067357513</v>
      </c>
      <c r="G3" s="12">
        <f>(6.6/4095)*1000*F3</f>
        <v>1.748662999867145</v>
      </c>
      <c r="H3" s="13">
        <f t="shared" si="3"/>
        <v>3.8616849816849821</v>
      </c>
    </row>
    <row r="4" spans="1:10" ht="43" customHeight="1" x14ac:dyDescent="0.2">
      <c r="A4" s="6" t="s">
        <v>7</v>
      </c>
      <c r="B4" s="3">
        <v>97</v>
      </c>
      <c r="C4" s="4">
        <f>VLOOKUP(B4,B19:C119,2)</f>
        <v>4.085</v>
      </c>
      <c r="D4" s="5">
        <f t="shared" ref="D2:D14" si="4">C4*1000/1.747</f>
        <v>2338.294218660561</v>
      </c>
      <c r="E4" s="5">
        <f t="shared" si="0"/>
        <v>2535.6921166977031</v>
      </c>
      <c r="F4" s="1">
        <f t="shared" si="1"/>
        <v>1.0486276621787025</v>
      </c>
      <c r="G4" s="12">
        <f t="shared" si="2"/>
        <v>1.6900958657825242</v>
      </c>
      <c r="H4" s="13">
        <f t="shared" si="3"/>
        <v>3.9519413919413919</v>
      </c>
      <c r="I4" s="21" t="s">
        <v>19</v>
      </c>
      <c r="J4" s="22"/>
    </row>
    <row r="5" spans="1:10" ht="18" x14ac:dyDescent="0.2">
      <c r="A5" s="3" t="s">
        <v>4</v>
      </c>
      <c r="B5" s="3">
        <v>95</v>
      </c>
      <c r="C5" s="4">
        <f>VLOOKUP(B5,B20:C119,2)</f>
        <v>4.0750000000000002</v>
      </c>
      <c r="D5" s="5">
        <f t="shared" si="4"/>
        <v>2332.5701202060673</v>
      </c>
      <c r="E5" s="5">
        <f t="shared" si="0"/>
        <v>2529.4847920546244</v>
      </c>
      <c r="F5" s="1">
        <f t="shared" si="1"/>
        <v>1.0512009815950922</v>
      </c>
      <c r="G5" s="12">
        <f t="shared" si="2"/>
        <v>1.6942433402997823</v>
      </c>
      <c r="H5" s="13">
        <f t="shared" si="3"/>
        <v>3.9519413919413919</v>
      </c>
    </row>
    <row r="6" spans="1:10" ht="18" x14ac:dyDescent="0.2">
      <c r="A6" s="6" t="s">
        <v>6</v>
      </c>
      <c r="B6" s="3">
        <v>61</v>
      </c>
      <c r="C6" s="4">
        <f>VLOOKUP(B6,B21:C119,2)</f>
        <v>3.87</v>
      </c>
      <c r="D6" s="5">
        <f t="shared" si="4"/>
        <v>2215.2261018889521</v>
      </c>
      <c r="E6" s="5">
        <f t="shared" si="0"/>
        <v>2402.2346368715084</v>
      </c>
      <c r="F6" s="1">
        <f t="shared" si="1"/>
        <v>1.106884754521964</v>
      </c>
      <c r="G6" s="12">
        <f t="shared" si="2"/>
        <v>1.7839900805482205</v>
      </c>
      <c r="H6" s="13">
        <f t="shared" si="3"/>
        <v>3.9519413919413924</v>
      </c>
    </row>
    <row r="7" spans="1:10" ht="18" x14ac:dyDescent="0.2">
      <c r="A7" s="6" t="s">
        <v>2</v>
      </c>
      <c r="B7" s="3">
        <v>69</v>
      </c>
      <c r="C7" s="4">
        <f>VLOOKUP(B7,B22:C119,2)</f>
        <v>3.9449999999999998</v>
      </c>
      <c r="D7" s="5">
        <f t="shared" si="4"/>
        <v>2258.1568402976532</v>
      </c>
      <c r="E7" s="5">
        <f t="shared" si="0"/>
        <v>2448.7895716945995</v>
      </c>
      <c r="F7" s="1">
        <f t="shared" si="1"/>
        <v>1.0858413181242079</v>
      </c>
      <c r="G7" s="12">
        <f>(6.6/4095)*1000*F7</f>
        <v>1.7500739193210677</v>
      </c>
      <c r="H7" s="13">
        <f t="shared" si="3"/>
        <v>3.9519413919413924</v>
      </c>
    </row>
    <row r="8" spans="1:10" ht="18" x14ac:dyDescent="0.2">
      <c r="A8" s="7" t="s">
        <v>3</v>
      </c>
      <c r="B8" s="3">
        <v>51</v>
      </c>
      <c r="C8" s="4">
        <f>VLOOKUP(B8,B23:C119,2)</f>
        <v>3.79</v>
      </c>
      <c r="D8" s="5">
        <f t="shared" si="4"/>
        <v>2169.4333142530049</v>
      </c>
      <c r="E8" s="5">
        <f t="shared" si="0"/>
        <v>2352.5760397268778</v>
      </c>
      <c r="F8" s="1">
        <f t="shared" si="1"/>
        <v>1.1302490765171505</v>
      </c>
      <c r="G8" s="12">
        <f t="shared" si="2"/>
        <v>1.8216468632510849</v>
      </c>
      <c r="H8" s="13">
        <f t="shared" si="3"/>
        <v>3.9519413919413915</v>
      </c>
    </row>
    <row r="9" spans="1:10" ht="18" x14ac:dyDescent="0.2">
      <c r="A9" s="7" t="s">
        <v>1</v>
      </c>
      <c r="B9" s="3">
        <v>93</v>
      </c>
      <c r="C9" s="4">
        <f>VLOOKUP(B9,B24:C120,2)</f>
        <v>4.0650000000000004</v>
      </c>
      <c r="D9" s="5">
        <f t="shared" si="4"/>
        <v>2326.8460217515744</v>
      </c>
      <c r="E9" s="5">
        <f t="shared" si="0"/>
        <v>2523.2774674115458</v>
      </c>
      <c r="F9" s="1">
        <f t="shared" si="1"/>
        <v>1.0537869618696185</v>
      </c>
      <c r="G9" s="12">
        <f t="shared" si="2"/>
        <v>1.6984112205957222</v>
      </c>
      <c r="H9" s="13">
        <f t="shared" si="3"/>
        <v>3.9519413919413919</v>
      </c>
    </row>
    <row r="10" spans="1:10" ht="18" x14ac:dyDescent="0.2">
      <c r="A10" s="7" t="s">
        <v>8</v>
      </c>
      <c r="B10" s="3">
        <v>67</v>
      </c>
      <c r="C10" s="4">
        <f>VLOOKUP(B10,B25:C121,2)</f>
        <v>3.9319999999999999</v>
      </c>
      <c r="D10" s="5">
        <f t="shared" si="4"/>
        <v>2250.7155123068114</v>
      </c>
      <c r="E10" s="5">
        <f t="shared" si="0"/>
        <v>2440.720049658597</v>
      </c>
      <c r="F10" s="1">
        <f t="shared" si="1"/>
        <v>1.0894313326551375</v>
      </c>
      <c r="G10" s="12">
        <f t="shared" si="2"/>
        <v>1.7558600233269614</v>
      </c>
      <c r="H10" s="13">
        <f t="shared" si="3"/>
        <v>3.9519413919413919</v>
      </c>
    </row>
    <row r="11" spans="1:10" ht="18" x14ac:dyDescent="0.2">
      <c r="A11" s="6" t="s">
        <v>5</v>
      </c>
      <c r="B11" s="3">
        <v>95</v>
      </c>
      <c r="C11" s="4">
        <f>VLOOKUP(B11,B26:C122,2)</f>
        <v>4.0750000000000002</v>
      </c>
      <c r="D11" s="5">
        <f t="shared" si="4"/>
        <v>2332.5701202060673</v>
      </c>
      <c r="E11" s="5">
        <f t="shared" si="0"/>
        <v>2529.4847920546244</v>
      </c>
      <c r="F11" s="1">
        <f t="shared" si="1"/>
        <v>1.0512009815950922</v>
      </c>
      <c r="G11" s="12">
        <f t="shared" si="2"/>
        <v>1.6942433402997823</v>
      </c>
      <c r="H11" s="13">
        <f t="shared" si="3"/>
        <v>3.9519413919413919</v>
      </c>
    </row>
    <row r="12" spans="1:10" ht="18" x14ac:dyDescent="0.2">
      <c r="A12" s="7" t="s">
        <v>22</v>
      </c>
      <c r="B12" s="3">
        <v>62</v>
      </c>
      <c r="C12" s="4">
        <f t="shared" ref="C12:C15" si="5">VLOOKUP(B12,B27:C123,2)</f>
        <v>3.88</v>
      </c>
      <c r="D12" s="5">
        <f t="shared" si="4"/>
        <v>2220.9502003434459</v>
      </c>
      <c r="E12" s="5">
        <f t="shared" si="0"/>
        <v>2408.4419615145871</v>
      </c>
      <c r="F12" s="1">
        <f t="shared" si="1"/>
        <v>1.1040319587628866</v>
      </c>
      <c r="G12" s="12">
        <f t="shared" si="2"/>
        <v>1.7793921679694877</v>
      </c>
      <c r="H12" s="13">
        <f t="shared" si="3"/>
        <v>3.9519413919413924</v>
      </c>
    </row>
    <row r="13" spans="1:10" ht="18" x14ac:dyDescent="0.2">
      <c r="A13" s="19" t="s">
        <v>23</v>
      </c>
      <c r="B13" s="18"/>
      <c r="C13" s="4" t="e">
        <f t="shared" si="5"/>
        <v>#N/A</v>
      </c>
      <c r="D13" s="5" t="e">
        <f t="shared" si="4"/>
        <v>#N/A</v>
      </c>
      <c r="E13" s="5" t="e">
        <f t="shared" si="0"/>
        <v>#N/A</v>
      </c>
      <c r="F13" s="1" t="e">
        <f t="shared" si="1"/>
        <v>#N/A</v>
      </c>
      <c r="G13" s="12" t="e">
        <f t="shared" si="2"/>
        <v>#N/A</v>
      </c>
      <c r="H13" s="13" t="e">
        <f t="shared" si="3"/>
        <v>#N/A</v>
      </c>
    </row>
    <row r="14" spans="1:10" ht="18" x14ac:dyDescent="0.2">
      <c r="A14" s="19" t="s">
        <v>24</v>
      </c>
      <c r="B14" s="18"/>
      <c r="C14" s="4" t="e">
        <f t="shared" si="5"/>
        <v>#N/A</v>
      </c>
      <c r="D14" s="5" t="e">
        <f t="shared" si="4"/>
        <v>#N/A</v>
      </c>
      <c r="E14" s="5" t="e">
        <f t="shared" si="0"/>
        <v>#N/A</v>
      </c>
      <c r="F14" s="1" t="e">
        <f t="shared" si="1"/>
        <v>#N/A</v>
      </c>
      <c r="G14" s="12" t="e">
        <f t="shared" si="2"/>
        <v>#N/A</v>
      </c>
      <c r="H14" s="13" t="e">
        <f t="shared" si="3"/>
        <v>#N/A</v>
      </c>
    </row>
    <row r="15" spans="1:10" ht="19" x14ac:dyDescent="0.2">
      <c r="A15" s="20" t="s">
        <v>25</v>
      </c>
      <c r="B15" s="18">
        <v>79</v>
      </c>
      <c r="C15" s="4">
        <f t="shared" si="5"/>
        <v>3.9950000000000001</v>
      </c>
      <c r="D15" s="5">
        <f>C15*1000/1.7479</f>
        <v>2285.5998626923738</v>
      </c>
      <c r="E15" s="5">
        <f t="shared" si="0"/>
        <v>2479.8261949099938</v>
      </c>
      <c r="F15" s="1">
        <f t="shared" si="1"/>
        <v>1.0728037046307883</v>
      </c>
      <c r="G15" s="12">
        <f t="shared" si="2"/>
        <v>1.72906091588845</v>
      </c>
      <c r="H15" s="13">
        <f t="shared" si="3"/>
        <v>3.9519413919413915</v>
      </c>
    </row>
    <row r="16" spans="1:10" ht="18" x14ac:dyDescent="0.2">
      <c r="A16" t="s">
        <v>26</v>
      </c>
      <c r="B16" s="23">
        <v>53</v>
      </c>
      <c r="C16" s="4">
        <f t="shared" ref="C16" si="6">VLOOKUP(B16,B31:C127,2)</f>
        <v>3.81</v>
      </c>
      <c r="D16" s="5">
        <f>C16*1000/1.7479</f>
        <v>2179.7585674237657</v>
      </c>
      <c r="E16" s="5">
        <f t="shared" ref="E16" si="7">C16*1000/1.611</f>
        <v>2364.9906890130355</v>
      </c>
      <c r="F16" s="1">
        <f>2396/D16</f>
        <v>1.0992043044619422</v>
      </c>
      <c r="G16" s="12">
        <f t="shared" ref="G16" si="8">(6.6/4095)*1000*F16</f>
        <v>1.7716113331987347</v>
      </c>
      <c r="H16" s="13">
        <f t="shared" ref="H16" si="9">D16*G16/1000</f>
        <v>3.8616849816849816</v>
      </c>
    </row>
    <row r="18" spans="2:5" x14ac:dyDescent="0.2">
      <c r="B18" s="14" t="s">
        <v>9</v>
      </c>
      <c r="C18" s="14" t="s">
        <v>13</v>
      </c>
      <c r="D18" s="14" t="s">
        <v>21</v>
      </c>
      <c r="E18" s="14" t="s">
        <v>20</v>
      </c>
    </row>
    <row r="19" spans="2:5" x14ac:dyDescent="0.2">
      <c r="B19" s="1">
        <v>0</v>
      </c>
      <c r="C19" s="15">
        <v>3.1</v>
      </c>
      <c r="D19" s="16">
        <v>3</v>
      </c>
      <c r="E19" s="16">
        <v>0</v>
      </c>
    </row>
    <row r="20" spans="2:5" x14ac:dyDescent="0.2">
      <c r="B20" s="1">
        <v>1</v>
      </c>
      <c r="C20" s="15">
        <v>3.15</v>
      </c>
      <c r="D20" s="16">
        <v>4</v>
      </c>
      <c r="E20" s="16">
        <v>1</v>
      </c>
    </row>
    <row r="21" spans="2:5" x14ac:dyDescent="0.2">
      <c r="B21" s="1">
        <v>2</v>
      </c>
      <c r="C21" s="15">
        <v>3.2</v>
      </c>
      <c r="D21" s="16">
        <v>5</v>
      </c>
      <c r="E21" s="16">
        <v>2</v>
      </c>
    </row>
    <row r="22" spans="2:5" x14ac:dyDescent="0.2">
      <c r="B22" s="1">
        <v>3</v>
      </c>
      <c r="C22" s="17">
        <v>3.22</v>
      </c>
      <c r="D22" s="16">
        <v>6</v>
      </c>
      <c r="E22" s="16">
        <v>2</v>
      </c>
    </row>
    <row r="23" spans="2:5" x14ac:dyDescent="0.2">
      <c r="B23" s="1">
        <v>4</v>
      </c>
      <c r="C23" s="17">
        <v>3.25</v>
      </c>
      <c r="D23" s="16">
        <v>7</v>
      </c>
      <c r="E23" s="16">
        <v>3</v>
      </c>
    </row>
    <row r="24" spans="2:5" x14ac:dyDescent="0.2">
      <c r="B24" s="1">
        <v>5</v>
      </c>
      <c r="C24" s="17">
        <v>3.28</v>
      </c>
      <c r="D24" s="16">
        <v>8</v>
      </c>
      <c r="E24" s="16">
        <v>3</v>
      </c>
    </row>
    <row r="25" spans="2:5" x14ac:dyDescent="0.2">
      <c r="B25" s="1">
        <v>6</v>
      </c>
      <c r="C25" s="17">
        <v>3.29</v>
      </c>
      <c r="D25" s="16">
        <v>8</v>
      </c>
      <c r="E25" s="16">
        <v>4</v>
      </c>
    </row>
    <row r="26" spans="2:5" x14ac:dyDescent="0.2">
      <c r="B26" s="1">
        <v>7</v>
      </c>
      <c r="C26" s="17">
        <v>3.3</v>
      </c>
      <c r="D26" s="16">
        <v>9</v>
      </c>
      <c r="E26" s="16">
        <v>4</v>
      </c>
    </row>
    <row r="27" spans="2:5" x14ac:dyDescent="0.2">
      <c r="B27" s="1">
        <v>8</v>
      </c>
      <c r="C27" s="17">
        <v>3.32</v>
      </c>
      <c r="D27" s="16">
        <v>10</v>
      </c>
      <c r="E27" s="16">
        <v>5</v>
      </c>
    </row>
    <row r="28" spans="2:5" x14ac:dyDescent="0.2">
      <c r="B28" s="1">
        <v>9</v>
      </c>
      <c r="C28" s="17">
        <v>3.335</v>
      </c>
      <c r="D28" s="16">
        <v>10</v>
      </c>
      <c r="E28" s="16">
        <v>6</v>
      </c>
    </row>
    <row r="29" spans="2:5" x14ac:dyDescent="0.2">
      <c r="B29" s="1">
        <v>10</v>
      </c>
      <c r="C29" s="17">
        <v>3.35</v>
      </c>
      <c r="D29" s="16">
        <v>11</v>
      </c>
      <c r="E29" s="16">
        <v>7</v>
      </c>
    </row>
    <row r="30" spans="2:5" x14ac:dyDescent="0.2">
      <c r="B30" s="1">
        <v>11</v>
      </c>
      <c r="C30" s="17">
        <v>3.375</v>
      </c>
      <c r="D30" s="16">
        <v>12</v>
      </c>
      <c r="E30" s="16">
        <v>8</v>
      </c>
    </row>
    <row r="31" spans="2:5" x14ac:dyDescent="0.2">
      <c r="B31" s="1">
        <v>12</v>
      </c>
      <c r="C31" s="17">
        <v>3.39</v>
      </c>
      <c r="D31" s="16">
        <v>13</v>
      </c>
      <c r="E31" s="16">
        <v>9</v>
      </c>
    </row>
    <row r="32" spans="2:5" x14ac:dyDescent="0.2">
      <c r="B32" s="1">
        <v>13</v>
      </c>
      <c r="C32" s="17">
        <v>3.4049999999999998</v>
      </c>
      <c r="D32" s="16">
        <v>15</v>
      </c>
      <c r="E32" s="16">
        <v>10</v>
      </c>
    </row>
    <row r="33" spans="2:5" x14ac:dyDescent="0.2">
      <c r="B33" s="1">
        <v>14</v>
      </c>
      <c r="C33" s="17">
        <v>3.42</v>
      </c>
      <c r="D33" s="16">
        <v>17</v>
      </c>
      <c r="E33" s="16">
        <v>11</v>
      </c>
    </row>
    <row r="34" spans="2:5" x14ac:dyDescent="0.2">
      <c r="B34" s="1">
        <v>15</v>
      </c>
      <c r="C34" s="17">
        <v>3.43</v>
      </c>
      <c r="D34" s="16">
        <v>18</v>
      </c>
      <c r="E34" s="16">
        <v>12</v>
      </c>
    </row>
    <row r="35" spans="2:5" x14ac:dyDescent="0.2">
      <c r="B35" s="1">
        <v>16</v>
      </c>
      <c r="C35" s="17">
        <v>3.44</v>
      </c>
      <c r="D35" s="16">
        <v>19</v>
      </c>
      <c r="E35" s="16">
        <v>13</v>
      </c>
    </row>
    <row r="36" spans="2:5" x14ac:dyDescent="0.2">
      <c r="B36" s="1">
        <v>17</v>
      </c>
      <c r="C36" s="17">
        <v>3.45</v>
      </c>
      <c r="D36" s="16">
        <v>20</v>
      </c>
      <c r="E36" s="16">
        <v>13</v>
      </c>
    </row>
    <row r="37" spans="2:5" x14ac:dyDescent="0.2">
      <c r="B37" s="1">
        <v>18</v>
      </c>
      <c r="C37" s="17">
        <v>3.46</v>
      </c>
      <c r="D37" s="16">
        <v>21</v>
      </c>
      <c r="E37" s="16">
        <v>14</v>
      </c>
    </row>
    <row r="38" spans="2:5" x14ac:dyDescent="0.2">
      <c r="B38" s="1">
        <v>19</v>
      </c>
      <c r="C38" s="17">
        <v>3.47</v>
      </c>
      <c r="D38" s="16">
        <v>22</v>
      </c>
      <c r="E38" s="16">
        <v>14</v>
      </c>
    </row>
    <row r="39" spans="2:5" x14ac:dyDescent="0.2">
      <c r="B39" s="1">
        <v>20</v>
      </c>
      <c r="C39" s="17">
        <v>3.48</v>
      </c>
      <c r="D39" s="16">
        <v>23</v>
      </c>
      <c r="E39" s="16">
        <v>15</v>
      </c>
    </row>
    <row r="40" spans="2:5" x14ac:dyDescent="0.2">
      <c r="B40" s="1">
        <v>21</v>
      </c>
      <c r="C40" s="17">
        <v>3.49</v>
      </c>
      <c r="D40" s="16">
        <v>24</v>
      </c>
      <c r="E40" s="16">
        <v>16</v>
      </c>
    </row>
    <row r="41" spans="2:5" x14ac:dyDescent="0.2">
      <c r="B41" s="1">
        <v>22</v>
      </c>
      <c r="C41" s="17">
        <v>3.5</v>
      </c>
      <c r="D41" s="16">
        <v>25</v>
      </c>
      <c r="E41" s="16">
        <v>17</v>
      </c>
    </row>
    <row r="42" spans="2:5" x14ac:dyDescent="0.2">
      <c r="B42" s="1">
        <v>23</v>
      </c>
      <c r="C42" s="17">
        <v>3.51</v>
      </c>
      <c r="D42" s="16">
        <v>26</v>
      </c>
      <c r="E42" s="16">
        <v>18</v>
      </c>
    </row>
    <row r="43" spans="2:5" x14ac:dyDescent="0.2">
      <c r="B43" s="1">
        <v>24</v>
      </c>
      <c r="C43" s="17">
        <v>3.52</v>
      </c>
      <c r="D43" s="16">
        <v>28</v>
      </c>
      <c r="E43" s="16">
        <v>19</v>
      </c>
    </row>
    <row r="44" spans="2:5" x14ac:dyDescent="0.2">
      <c r="B44" s="1">
        <v>25</v>
      </c>
      <c r="C44" s="17">
        <v>3.53</v>
      </c>
      <c r="D44" s="16">
        <v>29</v>
      </c>
      <c r="E44" s="16">
        <v>20</v>
      </c>
    </row>
    <row r="45" spans="2:5" x14ac:dyDescent="0.2">
      <c r="B45" s="1">
        <v>26</v>
      </c>
      <c r="C45" s="17">
        <v>3.54</v>
      </c>
      <c r="D45" s="16">
        <v>30</v>
      </c>
      <c r="E45" s="16">
        <v>21</v>
      </c>
    </row>
    <row r="46" spans="2:5" x14ac:dyDescent="0.2">
      <c r="B46" s="1">
        <v>27</v>
      </c>
      <c r="C46" s="17">
        <v>3.55</v>
      </c>
      <c r="D46" s="16">
        <v>30</v>
      </c>
      <c r="E46" s="16">
        <v>22</v>
      </c>
    </row>
    <row r="47" spans="2:5" x14ac:dyDescent="0.2">
      <c r="B47" s="1">
        <v>28</v>
      </c>
      <c r="C47" s="17">
        <v>3.56</v>
      </c>
      <c r="D47" s="16">
        <v>31</v>
      </c>
      <c r="E47" s="16">
        <v>23</v>
      </c>
    </row>
    <row r="48" spans="2:5" x14ac:dyDescent="0.2">
      <c r="B48" s="1">
        <v>29</v>
      </c>
      <c r="C48" s="17">
        <v>3.57</v>
      </c>
      <c r="D48" s="16">
        <v>32</v>
      </c>
      <c r="E48" s="16">
        <v>24</v>
      </c>
    </row>
    <row r="49" spans="2:5" x14ac:dyDescent="0.2">
      <c r="B49" s="1">
        <v>30</v>
      </c>
      <c r="C49" s="17">
        <v>3.58</v>
      </c>
      <c r="D49" s="16">
        <v>33</v>
      </c>
      <c r="E49" s="16">
        <v>26</v>
      </c>
    </row>
    <row r="50" spans="2:5" x14ac:dyDescent="0.2">
      <c r="B50" s="1">
        <v>31</v>
      </c>
      <c r="C50" s="17">
        <v>3.59</v>
      </c>
      <c r="D50" s="16">
        <v>34</v>
      </c>
      <c r="E50" s="16">
        <v>27</v>
      </c>
    </row>
    <row r="51" spans="2:5" x14ac:dyDescent="0.2">
      <c r="B51" s="1">
        <v>32</v>
      </c>
      <c r="C51" s="17">
        <v>3.6</v>
      </c>
      <c r="D51" s="16">
        <v>35</v>
      </c>
      <c r="E51" s="16">
        <v>28</v>
      </c>
    </row>
    <row r="52" spans="2:5" x14ac:dyDescent="0.2">
      <c r="B52" s="1">
        <v>33</v>
      </c>
      <c r="C52" s="17">
        <v>3.61</v>
      </c>
      <c r="D52" s="16">
        <v>36</v>
      </c>
      <c r="E52" s="16">
        <v>29</v>
      </c>
    </row>
    <row r="53" spans="2:5" x14ac:dyDescent="0.2">
      <c r="B53" s="1">
        <v>34</v>
      </c>
      <c r="C53" s="17">
        <v>3.62</v>
      </c>
      <c r="D53" s="16">
        <v>37</v>
      </c>
      <c r="E53" s="16">
        <v>30</v>
      </c>
    </row>
    <row r="54" spans="2:5" x14ac:dyDescent="0.2">
      <c r="B54" s="1">
        <v>35</v>
      </c>
      <c r="C54" s="17">
        <v>3.63</v>
      </c>
      <c r="D54" s="16">
        <v>38</v>
      </c>
      <c r="E54" s="16">
        <v>31</v>
      </c>
    </row>
    <row r="55" spans="2:5" x14ac:dyDescent="0.2">
      <c r="B55" s="1">
        <v>36</v>
      </c>
      <c r="C55" s="17">
        <v>3.64</v>
      </c>
      <c r="D55" s="16">
        <v>39</v>
      </c>
      <c r="E55" s="16">
        <v>32</v>
      </c>
    </row>
    <row r="56" spans="2:5" x14ac:dyDescent="0.2">
      <c r="B56" s="1">
        <v>37</v>
      </c>
      <c r="C56" s="17">
        <v>3.65</v>
      </c>
      <c r="D56" s="16">
        <v>40</v>
      </c>
      <c r="E56" s="16">
        <v>33</v>
      </c>
    </row>
    <row r="57" spans="2:5" x14ac:dyDescent="0.2">
      <c r="B57" s="1">
        <v>38</v>
      </c>
      <c r="C57" s="17">
        <v>3.66</v>
      </c>
      <c r="D57" s="16">
        <v>41</v>
      </c>
      <c r="E57" s="16">
        <v>34</v>
      </c>
    </row>
    <row r="58" spans="2:5" x14ac:dyDescent="0.2">
      <c r="B58" s="1">
        <v>39</v>
      </c>
      <c r="C58" s="17">
        <v>3.67</v>
      </c>
      <c r="D58" s="16">
        <v>42</v>
      </c>
      <c r="E58" s="16">
        <v>34</v>
      </c>
    </row>
    <row r="59" spans="2:5" x14ac:dyDescent="0.2">
      <c r="B59" s="1">
        <v>40</v>
      </c>
      <c r="C59" s="17">
        <v>3.68</v>
      </c>
      <c r="D59" s="16">
        <v>43</v>
      </c>
      <c r="E59" s="16">
        <v>35</v>
      </c>
    </row>
    <row r="60" spans="2:5" x14ac:dyDescent="0.2">
      <c r="B60" s="1">
        <v>41</v>
      </c>
      <c r="C60" s="17">
        <v>3.69</v>
      </c>
      <c r="D60" s="16">
        <v>44</v>
      </c>
      <c r="E60" s="16">
        <v>36</v>
      </c>
    </row>
    <row r="61" spans="2:5" x14ac:dyDescent="0.2">
      <c r="B61" s="1">
        <v>42</v>
      </c>
      <c r="C61" s="17">
        <v>3.7</v>
      </c>
      <c r="D61" s="16">
        <v>45</v>
      </c>
      <c r="E61" s="16">
        <v>37</v>
      </c>
    </row>
    <row r="62" spans="2:5" x14ac:dyDescent="0.2">
      <c r="B62" s="1">
        <v>43</v>
      </c>
      <c r="C62" s="17">
        <v>3.71</v>
      </c>
      <c r="D62" s="16">
        <v>46</v>
      </c>
      <c r="E62" s="16">
        <v>38</v>
      </c>
    </row>
    <row r="63" spans="2:5" x14ac:dyDescent="0.2">
      <c r="B63" s="1">
        <v>44</v>
      </c>
      <c r="C63" s="17">
        <v>3.72</v>
      </c>
      <c r="D63" s="16">
        <v>47</v>
      </c>
      <c r="E63" s="16">
        <v>39</v>
      </c>
    </row>
    <row r="64" spans="2:5" x14ac:dyDescent="0.2">
      <c r="B64" s="1">
        <v>45</v>
      </c>
      <c r="C64" s="17">
        <v>3.73</v>
      </c>
      <c r="D64" s="16">
        <v>48</v>
      </c>
      <c r="E64" s="16">
        <v>40</v>
      </c>
    </row>
    <row r="65" spans="2:5" x14ac:dyDescent="0.2">
      <c r="B65" s="1">
        <v>46</v>
      </c>
      <c r="C65" s="17">
        <v>3.74</v>
      </c>
      <c r="D65" s="16">
        <v>50</v>
      </c>
      <c r="E65" s="16">
        <v>41</v>
      </c>
    </row>
    <row r="66" spans="2:5" x14ac:dyDescent="0.2">
      <c r="B66" s="1">
        <v>47</v>
      </c>
      <c r="C66" s="17">
        <v>3.75</v>
      </c>
      <c r="D66" s="16">
        <v>51</v>
      </c>
      <c r="E66" s="16">
        <v>42</v>
      </c>
    </row>
    <row r="67" spans="2:5" x14ac:dyDescent="0.2">
      <c r="B67" s="1">
        <v>48</v>
      </c>
      <c r="C67" s="17">
        <v>3.76</v>
      </c>
      <c r="D67" s="16">
        <v>53</v>
      </c>
      <c r="E67" s="16">
        <v>43</v>
      </c>
    </row>
    <row r="68" spans="2:5" x14ac:dyDescent="0.2">
      <c r="B68" s="1">
        <v>49</v>
      </c>
      <c r="C68" s="17">
        <v>3.77</v>
      </c>
      <c r="D68" s="16">
        <v>54</v>
      </c>
      <c r="E68" s="16">
        <v>45</v>
      </c>
    </row>
    <row r="69" spans="2:5" x14ac:dyDescent="0.2">
      <c r="B69" s="1">
        <v>50</v>
      </c>
      <c r="C69" s="17">
        <v>3.78</v>
      </c>
      <c r="D69" s="16">
        <v>55</v>
      </c>
      <c r="E69" s="16">
        <v>46</v>
      </c>
    </row>
    <row r="70" spans="2:5" x14ac:dyDescent="0.2">
      <c r="B70" s="1">
        <v>51</v>
      </c>
      <c r="C70" s="17">
        <v>3.79</v>
      </c>
      <c r="D70" s="16">
        <v>56</v>
      </c>
      <c r="E70" s="16">
        <v>47</v>
      </c>
    </row>
    <row r="71" spans="2:5" x14ac:dyDescent="0.2">
      <c r="B71" s="1">
        <v>52</v>
      </c>
      <c r="C71" s="17">
        <v>3.8</v>
      </c>
      <c r="D71" s="16">
        <v>57</v>
      </c>
      <c r="E71" s="16">
        <v>48</v>
      </c>
    </row>
    <row r="72" spans="2:5" x14ac:dyDescent="0.2">
      <c r="B72" s="1">
        <v>53</v>
      </c>
      <c r="C72" s="17">
        <v>3.81</v>
      </c>
      <c r="D72" s="16">
        <v>57</v>
      </c>
      <c r="E72" s="16">
        <v>49</v>
      </c>
    </row>
    <row r="73" spans="2:5" x14ac:dyDescent="0.2">
      <c r="B73" s="1">
        <v>54</v>
      </c>
      <c r="C73" s="17">
        <v>3.8149999999999999</v>
      </c>
      <c r="D73" s="16">
        <v>58</v>
      </c>
      <c r="E73" s="16">
        <v>50</v>
      </c>
    </row>
    <row r="74" spans="2:5" x14ac:dyDescent="0.2">
      <c r="B74" s="1">
        <v>55</v>
      </c>
      <c r="C74" s="17">
        <v>3.82</v>
      </c>
      <c r="D74" s="16">
        <v>58</v>
      </c>
      <c r="E74" s="16">
        <v>51</v>
      </c>
    </row>
    <row r="75" spans="2:5" x14ac:dyDescent="0.2">
      <c r="B75" s="1">
        <v>56</v>
      </c>
      <c r="C75" s="17">
        <v>3.8250000000000002</v>
      </c>
      <c r="D75" s="16">
        <v>59</v>
      </c>
      <c r="E75" s="16">
        <v>52</v>
      </c>
    </row>
    <row r="76" spans="2:5" x14ac:dyDescent="0.2">
      <c r="B76" s="1">
        <v>57</v>
      </c>
      <c r="C76" s="17">
        <v>3.8319999999999999</v>
      </c>
      <c r="D76" s="16">
        <v>60</v>
      </c>
      <c r="E76" s="16">
        <v>53</v>
      </c>
    </row>
    <row r="77" spans="2:5" x14ac:dyDescent="0.2">
      <c r="B77" s="1">
        <v>58</v>
      </c>
      <c r="C77" s="17">
        <v>3.8439999999999999</v>
      </c>
      <c r="D77" s="16">
        <v>61</v>
      </c>
      <c r="E77" s="16">
        <v>55</v>
      </c>
    </row>
    <row r="78" spans="2:5" x14ac:dyDescent="0.2">
      <c r="B78" s="1">
        <v>59</v>
      </c>
      <c r="C78" s="17">
        <v>3.8519999999999999</v>
      </c>
      <c r="D78" s="16">
        <v>62</v>
      </c>
      <c r="E78" s="16">
        <v>57</v>
      </c>
    </row>
    <row r="79" spans="2:5" x14ac:dyDescent="0.2">
      <c r="B79" s="1">
        <v>60</v>
      </c>
      <c r="C79" s="17">
        <v>3.86</v>
      </c>
      <c r="D79" s="16">
        <v>63</v>
      </c>
      <c r="E79" s="16">
        <v>58</v>
      </c>
    </row>
    <row r="80" spans="2:5" x14ac:dyDescent="0.2">
      <c r="B80" s="1">
        <v>61</v>
      </c>
      <c r="C80" s="17">
        <v>3.87</v>
      </c>
      <c r="D80" s="16">
        <v>64</v>
      </c>
      <c r="E80" s="16">
        <v>59</v>
      </c>
    </row>
    <row r="81" spans="2:5" x14ac:dyDescent="0.2">
      <c r="B81" s="1">
        <v>62</v>
      </c>
      <c r="C81" s="17">
        <v>3.88</v>
      </c>
      <c r="D81" s="16">
        <v>65</v>
      </c>
      <c r="E81" s="16">
        <v>60</v>
      </c>
    </row>
    <row r="82" spans="2:5" x14ac:dyDescent="0.2">
      <c r="B82" s="1">
        <v>63</v>
      </c>
      <c r="C82" s="17">
        <v>3.89</v>
      </c>
      <c r="D82" s="16">
        <v>66</v>
      </c>
      <c r="E82" s="16">
        <v>61</v>
      </c>
    </row>
    <row r="83" spans="2:5" x14ac:dyDescent="0.2">
      <c r="B83" s="1">
        <v>64</v>
      </c>
      <c r="C83" s="17">
        <v>3.9</v>
      </c>
      <c r="D83" s="16">
        <v>68</v>
      </c>
      <c r="E83" s="16">
        <v>62</v>
      </c>
    </row>
    <row r="84" spans="2:5" x14ac:dyDescent="0.2">
      <c r="B84" s="1">
        <v>65</v>
      </c>
      <c r="C84" s="17">
        <v>3.9119999999999999</v>
      </c>
      <c r="D84" s="16">
        <v>70</v>
      </c>
      <c r="E84" s="16">
        <v>63</v>
      </c>
    </row>
    <row r="85" spans="2:5" x14ac:dyDescent="0.2">
      <c r="B85" s="1">
        <v>66</v>
      </c>
      <c r="C85" s="17">
        <v>3.9239999999999999</v>
      </c>
      <c r="D85" s="16">
        <v>71</v>
      </c>
      <c r="E85" s="16">
        <v>64</v>
      </c>
    </row>
    <row r="86" spans="2:5" x14ac:dyDescent="0.2">
      <c r="B86" s="1">
        <v>67</v>
      </c>
      <c r="C86" s="17">
        <v>3.9319999999999999</v>
      </c>
      <c r="D86" s="16">
        <v>73</v>
      </c>
      <c r="E86" s="16">
        <v>65</v>
      </c>
    </row>
    <row r="87" spans="2:5" x14ac:dyDescent="0.2">
      <c r="B87" s="1">
        <v>68</v>
      </c>
      <c r="C87" s="17">
        <v>3.94</v>
      </c>
      <c r="D87" s="16">
        <v>75</v>
      </c>
      <c r="E87" s="16">
        <v>65</v>
      </c>
    </row>
    <row r="88" spans="2:5" x14ac:dyDescent="0.2">
      <c r="B88" s="1">
        <v>69</v>
      </c>
      <c r="C88" s="17">
        <v>3.9449999999999998</v>
      </c>
      <c r="D88" s="16">
        <v>77</v>
      </c>
      <c r="E88" s="16">
        <v>66</v>
      </c>
    </row>
    <row r="89" spans="2:5" x14ac:dyDescent="0.2">
      <c r="B89" s="1">
        <v>70</v>
      </c>
      <c r="C89" s="17">
        <v>3.95</v>
      </c>
      <c r="D89" s="16">
        <v>79</v>
      </c>
      <c r="E89" s="16">
        <v>67</v>
      </c>
    </row>
    <row r="90" spans="2:5" x14ac:dyDescent="0.2">
      <c r="B90" s="1">
        <v>71</v>
      </c>
      <c r="C90" s="17">
        <v>3.9550000000000001</v>
      </c>
      <c r="D90" s="16">
        <v>80</v>
      </c>
      <c r="E90" s="16">
        <v>68</v>
      </c>
    </row>
    <row r="91" spans="2:5" x14ac:dyDescent="0.2">
      <c r="B91" s="1">
        <v>72</v>
      </c>
      <c r="C91" s="17">
        <v>3.96</v>
      </c>
      <c r="D91" s="16">
        <v>81</v>
      </c>
      <c r="E91" s="16">
        <v>69</v>
      </c>
    </row>
    <row r="92" spans="2:5" x14ac:dyDescent="0.2">
      <c r="B92" s="1">
        <v>73</v>
      </c>
      <c r="C92" s="17">
        <v>3.9649999999999999</v>
      </c>
      <c r="D92" s="16">
        <v>82</v>
      </c>
      <c r="E92" s="16">
        <v>70</v>
      </c>
    </row>
    <row r="93" spans="2:5" x14ac:dyDescent="0.2">
      <c r="B93" s="1">
        <v>74</v>
      </c>
      <c r="C93" s="17">
        <v>3.97</v>
      </c>
      <c r="D93" s="16">
        <v>83</v>
      </c>
      <c r="E93" s="16">
        <v>71</v>
      </c>
    </row>
    <row r="94" spans="2:5" x14ac:dyDescent="0.2">
      <c r="B94" s="1">
        <v>75</v>
      </c>
      <c r="C94" s="17">
        <v>3.9750000000000001</v>
      </c>
      <c r="D94" s="16">
        <v>84</v>
      </c>
      <c r="E94" s="16">
        <v>72</v>
      </c>
    </row>
    <row r="95" spans="2:5" x14ac:dyDescent="0.2">
      <c r="B95" s="1">
        <v>76</v>
      </c>
      <c r="C95" s="17">
        <v>3.98</v>
      </c>
      <c r="D95" s="16">
        <v>85</v>
      </c>
      <c r="E95" s="16">
        <v>73</v>
      </c>
    </row>
    <row r="96" spans="2:5" x14ac:dyDescent="0.2">
      <c r="B96" s="1">
        <v>77</v>
      </c>
      <c r="C96" s="17">
        <v>3.9849999999999999</v>
      </c>
      <c r="D96" s="16">
        <v>85</v>
      </c>
      <c r="E96" s="16">
        <v>74</v>
      </c>
    </row>
    <row r="97" spans="2:5" x14ac:dyDescent="0.2">
      <c r="B97" s="1">
        <v>78</v>
      </c>
      <c r="C97" s="17">
        <v>3.99</v>
      </c>
      <c r="D97" s="16">
        <v>86</v>
      </c>
      <c r="E97" s="16">
        <v>75</v>
      </c>
    </row>
    <row r="98" spans="2:5" x14ac:dyDescent="0.2">
      <c r="B98" s="1">
        <v>79</v>
      </c>
      <c r="C98" s="17">
        <v>3.9950000000000001</v>
      </c>
      <c r="D98" s="16">
        <v>86</v>
      </c>
      <c r="E98" s="16">
        <v>76</v>
      </c>
    </row>
    <row r="99" spans="2:5" x14ac:dyDescent="0.2">
      <c r="B99" s="1">
        <v>80</v>
      </c>
      <c r="C99" s="17">
        <v>4</v>
      </c>
      <c r="D99" s="16">
        <v>87</v>
      </c>
      <c r="E99" s="16">
        <v>77</v>
      </c>
    </row>
    <row r="100" spans="2:5" x14ac:dyDescent="0.2">
      <c r="B100" s="1">
        <v>81</v>
      </c>
      <c r="C100" s="17">
        <v>4.0049999999999999</v>
      </c>
      <c r="D100" s="16">
        <v>88</v>
      </c>
      <c r="E100" s="16">
        <v>78</v>
      </c>
    </row>
    <row r="101" spans="2:5" x14ac:dyDescent="0.2">
      <c r="B101" s="1">
        <v>82</v>
      </c>
      <c r="C101" s="17">
        <v>4.01</v>
      </c>
      <c r="D101" s="16">
        <v>89</v>
      </c>
      <c r="E101" s="16">
        <v>79</v>
      </c>
    </row>
    <row r="102" spans="2:5" x14ac:dyDescent="0.2">
      <c r="B102" s="1">
        <v>83</v>
      </c>
      <c r="C102" s="17">
        <v>4.0149999999999997</v>
      </c>
      <c r="D102" s="16">
        <v>90</v>
      </c>
      <c r="E102" s="16">
        <v>80</v>
      </c>
    </row>
    <row r="103" spans="2:5" x14ac:dyDescent="0.2">
      <c r="B103" s="1">
        <v>84</v>
      </c>
      <c r="C103" s="17">
        <v>4.0199999999999996</v>
      </c>
      <c r="D103" s="16">
        <v>91</v>
      </c>
      <c r="E103" s="16">
        <v>81</v>
      </c>
    </row>
    <row r="104" spans="2:5" x14ac:dyDescent="0.2">
      <c r="B104" s="1">
        <v>85</v>
      </c>
      <c r="C104" s="17">
        <v>4.0250000000000004</v>
      </c>
      <c r="D104" s="16">
        <v>92</v>
      </c>
      <c r="E104" s="16">
        <v>82</v>
      </c>
    </row>
    <row r="105" spans="2:5" x14ac:dyDescent="0.2">
      <c r="B105" s="1">
        <v>86</v>
      </c>
      <c r="C105" s="17">
        <v>4.03</v>
      </c>
      <c r="D105" s="16">
        <v>93</v>
      </c>
      <c r="E105" s="16">
        <v>83</v>
      </c>
    </row>
    <row r="106" spans="2:5" x14ac:dyDescent="0.2">
      <c r="B106" s="1">
        <v>87</v>
      </c>
      <c r="C106" s="17">
        <v>4.0350000000000001</v>
      </c>
      <c r="D106" s="16">
        <v>94</v>
      </c>
      <c r="E106" s="16">
        <v>84</v>
      </c>
    </row>
    <row r="107" spans="2:5" x14ac:dyDescent="0.2">
      <c r="B107" s="1">
        <v>88</v>
      </c>
      <c r="C107" s="17">
        <v>4.04</v>
      </c>
      <c r="D107" s="16">
        <v>95</v>
      </c>
      <c r="E107" s="16">
        <v>86</v>
      </c>
    </row>
    <row r="108" spans="2:5" x14ac:dyDescent="0.2">
      <c r="B108" s="1">
        <v>89</v>
      </c>
      <c r="C108" s="17">
        <v>4.0449999999999999</v>
      </c>
      <c r="D108" s="16">
        <v>96</v>
      </c>
      <c r="E108" s="16">
        <v>88</v>
      </c>
    </row>
    <row r="109" spans="2:5" x14ac:dyDescent="0.2">
      <c r="B109" s="1">
        <v>90</v>
      </c>
      <c r="C109" s="17">
        <v>4.05</v>
      </c>
      <c r="D109" s="16">
        <v>96</v>
      </c>
      <c r="E109" s="16">
        <v>90</v>
      </c>
    </row>
    <row r="110" spans="2:5" x14ac:dyDescent="0.2">
      <c r="B110" s="1">
        <v>91</v>
      </c>
      <c r="C110" s="17">
        <v>4.0549999999999997</v>
      </c>
      <c r="D110" s="16">
        <v>96</v>
      </c>
      <c r="E110" s="16">
        <v>91</v>
      </c>
    </row>
    <row r="111" spans="2:5" x14ac:dyDescent="0.2">
      <c r="B111" s="1">
        <v>92</v>
      </c>
      <c r="C111" s="17">
        <v>4.0599999999999996</v>
      </c>
      <c r="D111" s="16">
        <v>96</v>
      </c>
      <c r="E111" s="16">
        <v>92</v>
      </c>
    </row>
    <row r="112" spans="2:5" x14ac:dyDescent="0.2">
      <c r="B112" s="1">
        <v>93</v>
      </c>
      <c r="C112" s="17">
        <v>4.0650000000000004</v>
      </c>
      <c r="D112" s="16">
        <v>96</v>
      </c>
      <c r="E112" s="16">
        <v>93</v>
      </c>
    </row>
    <row r="113" spans="2:5" x14ac:dyDescent="0.2">
      <c r="B113" s="1">
        <v>94</v>
      </c>
      <c r="C113" s="17">
        <v>4.07</v>
      </c>
      <c r="D113" s="16">
        <v>96</v>
      </c>
      <c r="E113" s="16">
        <v>94</v>
      </c>
    </row>
    <row r="114" spans="2:5" x14ac:dyDescent="0.2">
      <c r="B114" s="1">
        <v>95</v>
      </c>
      <c r="C114" s="17">
        <v>4.0750000000000002</v>
      </c>
      <c r="D114" s="16">
        <v>96</v>
      </c>
      <c r="E114" s="16">
        <v>94</v>
      </c>
    </row>
    <row r="115" spans="2:5" x14ac:dyDescent="0.2">
      <c r="B115" s="1">
        <v>96</v>
      </c>
      <c r="C115" s="17">
        <v>4.08</v>
      </c>
      <c r="D115" s="16">
        <v>96</v>
      </c>
      <c r="E115" s="16">
        <v>95</v>
      </c>
    </row>
    <row r="116" spans="2:5" x14ac:dyDescent="0.2">
      <c r="B116" s="1">
        <v>97</v>
      </c>
      <c r="C116" s="17">
        <v>4.085</v>
      </c>
      <c r="D116" s="16">
        <v>96</v>
      </c>
      <c r="E116" s="16">
        <v>95</v>
      </c>
    </row>
    <row r="117" spans="2:5" x14ac:dyDescent="0.2">
      <c r="B117" s="1">
        <v>98</v>
      </c>
      <c r="C117" s="17">
        <v>4.09</v>
      </c>
      <c r="D117" s="16">
        <v>96</v>
      </c>
      <c r="E117" s="16">
        <v>96</v>
      </c>
    </row>
    <row r="118" spans="2:5" x14ac:dyDescent="0.2">
      <c r="B118" s="1">
        <v>99</v>
      </c>
      <c r="C118" s="17">
        <v>4.0949999999999998</v>
      </c>
      <c r="D118" s="16">
        <v>97</v>
      </c>
      <c r="E118" s="16">
        <v>96</v>
      </c>
    </row>
    <row r="119" spans="2:5" x14ac:dyDescent="0.2">
      <c r="B119" s="1">
        <v>100</v>
      </c>
      <c r="C119" s="17">
        <v>4.0999999999999996</v>
      </c>
      <c r="D119" s="16">
        <v>97</v>
      </c>
      <c r="E119" s="16">
        <v>97</v>
      </c>
    </row>
  </sheetData>
  <autoFilter ref="A1:H1" xr:uid="{4FCEA2F8-C70C-954A-B20B-986334289DC9}">
    <sortState xmlns:xlrd2="http://schemas.microsoft.com/office/spreadsheetml/2017/richdata2" ref="A2:H9">
      <sortCondition ref="G1:G9"/>
    </sortState>
  </autoFilter>
  <mergeCells count="2">
    <mergeCell ref="I1:J1"/>
    <mergeCell ref="I4:J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2022-11-08T09:30:52Z</dcterms:created>
  <dcterms:modified xsi:type="dcterms:W3CDTF">2022-12-21T17:04:02Z</dcterms:modified>
</cp:coreProperties>
</file>